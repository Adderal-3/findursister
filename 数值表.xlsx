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347d89233e43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封面" sheetId="1" r:id="R6b76d5be6d554492"/>
    <x:sheet xmlns:r="http://schemas.openxmlformats.org/officeDocument/2006/relationships" name="关卡参数表" sheetId="2" r:id="R2d2b5af258bd45a5"/>
    <x:sheet xmlns:r="http://schemas.openxmlformats.org/officeDocument/2006/relationships" name="星锚系数表" sheetId="3" r:id="Rc2cb8f1bcab540dd"/>
    <x:sheet xmlns:r="http://schemas.openxmlformats.org/officeDocument/2006/relationships" name="无尽难度曲线" sheetId="4" r:id="Rf2d0add6600548c4"/>
    <x:sheet xmlns:r="http://schemas.openxmlformats.org/officeDocument/2006/relationships" name="道具经济表" sheetId="5" r:id="R7646f5fa9c284ca0"/>
    <x:sheet xmlns:r="http://schemas.openxmlformats.org/officeDocument/2006/relationships" name="伙伴招募条件" sheetId="6" r:id="R01c5a526207a491d"/>
    <x:sheet xmlns:r="http://schemas.openxmlformats.org/officeDocument/2006/relationships" name="数值决议" sheetId="7" r:id="Rc1a96b98fec149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0000"/>
  </x:numFmts>
  <x:fonts count="14">
    <x:font>
      <x:sz val="11"/>
      <x:color theme="1"/>
      <x:name val="Calibri"/>
    </x:font>
    <x:font>
      <x:b/>
      <x:sz val="18"/>
      <x:color rgb="FF000000"/>
    </x:font>
    <x:font>
      <x:sz val="11"/>
      <x:color rgb="FF666666"/>
    </x:font>
    <x:font>
      <x:b/>
      <x:sz val="13"/>
    </x:font>
    <x:font>
      <x:b/>
      <x:sz val="10"/>
    </x:font>
    <x:font>
      <x:sz val="10"/>
      <x:color rgb="FF000000"/>
    </x:font>
    <x:font>
      <x:b/>
      <x:sz val="10"/>
      <x:color rgb="FF0066CC"/>
    </x:font>
    <x:font>
      <x:sz val="9"/>
      <x:color rgb="FF999999"/>
    </x:font>
    <x:font>
      <x:b/>
      <x:sz val="10"/>
      <x:color rgb="FFFFFFFF"/>
    </x:font>
    <x:font>
      <x:sz val="10"/>
      <x:color rgb="FF0066CC"/>
    </x:font>
    <x:font>
      <x:b/>
      <x:sz val="10"/>
      <x:color rgb="FF1479C9"/>
    </x:font>
    <x:font>
      <x:b/>
      <x:sz val="11"/>
      <x:color rgb="FF1479C9"/>
      <x:name val="Calibri"/>
    </x:font>
    <x:font>
      <x:sz val="10"/>
      <x:color rgb="FF1479C9"/>
    </x:font>
    <x:font>
      <x:sz val="11"/>
      <x:color rgb="FF1479C9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E6F0FA"/>
      </x:patternFill>
    </x:fill>
    <x:fill>
      <x:patternFill patternType="solid">
        <x:fgColor rgb="FF333333"/>
      </x:patternFill>
    </x:fill>
    <x:fill>
      <x:patternFill patternType="solid">
        <x:fgColor rgb="FFF5F5F5"/>
      </x:patternFill>
    </x:fill>
  </x:fills>
  <x:borders count="1">
    <x:border/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Alignment="1">
      <x:alignment horizontal="left" vertical="center"/>
    </x:xf>
    <x:xf numFmtId="0" fontId="2" fillId="0" borderId="0" xfId="0" applyAlignment="1">
      <x:alignment horizontal="left" vertical="center"/>
    </x:xf>
    <x:xf numFmtId="0" fontId="3" fillId="0" borderId="0" xfId="0" applyAlignment="1">
      <x:alignment horizontal="left" vertical="center"/>
    </x:xf>
    <x:xf numFmtId="0" fontId="4" fillId="2" borderId="0" xfId="0" applyAlignment="1">
      <x:alignment horizontal="left" vertical="center"/>
    </x:xf>
    <x:xf numFmtId="0" fontId="5" fillId="0" borderId="0" xfId="0" applyAlignment="1">
      <x:alignment horizontal="left" vertical="center"/>
    </x:xf>
    <x:xf numFmtId="0" fontId="6" fillId="0" borderId="0" xfId="0" applyAlignment="1">
      <x:alignment horizontal="left" vertical="center"/>
    </x:xf>
    <x:xf numFmtId="0" fontId="7" fillId="0" borderId="0" xfId="0" applyAlignment="1">
      <x:alignment horizontal="left" vertical="center"/>
    </x:xf>
    <x:xf numFmtId="0" fontId="1" fillId="0" borderId="0" xfId="0"/>
    <x:xf numFmtId="0" fontId="2" fillId="0" borderId="0" xfId="0"/>
    <x:xf numFmtId="0" fontId="8" fillId="3" borderId="0" xfId="0" applyAlignment="1">
      <x:alignment horizontal="center" vertical="center"/>
    </x:xf>
    <x:xf numFmtId="0" fontId="9" fillId="0" borderId="0" xfId="0" applyAlignment="1">
      <x:alignment horizontal="center" vertical="center"/>
    </x:xf>
    <x:xf numFmtId="0" fontId="5" fillId="0" borderId="0" xfId="0" applyAlignment="1">
      <x:alignment horizontal="center" vertical="center"/>
    </x:xf>
    <x:xf numFmtId="0" fontId="9" fillId="4" borderId="0" xfId="0" applyAlignment="1">
      <x:alignment horizontal="center" vertical="center"/>
    </x:xf>
    <x:xf numFmtId="0" fontId="5" fillId="4" borderId="0" xfId="0" applyAlignment="1">
      <x:alignment horizontal="center" vertical="center"/>
    </x:xf>
    <x:xf numFmtId="0" fontId="0" fillId="4" borderId="0" xfId="0"/>
    <x:xf numFmtId="0" fontId="9" fillId="2" borderId="0" xfId="0" applyAlignment="1">
      <x:alignment horizontal="center" vertical="center"/>
    </x:xf>
    <x:xf numFmtId="0" fontId="5" fillId="2" borderId="0" xfId="0" applyAlignment="1">
      <x:alignment horizontal="center" vertical="center"/>
    </x:xf>
    <x:xf numFmtId="0" fontId="0" fillId="2" borderId="0" xfId="0"/>
    <x:xf numFmtId="164" fontId="5" fillId="0" borderId="0" xfId="0" applyAlignment="1">
      <x:alignment horizontal="center" vertical="center"/>
    </x:xf>
    <x:xf numFmtId="0" fontId="9" fillId="0" borderId="0" xfId="0" applyAlignment="1">
      <x:alignment horizontal="left" vertical="center"/>
    </x:xf>
    <x:xf numFmtId="0" fontId="9" fillId="4" borderId="0" xfId="0" applyAlignment="1">
      <x:alignment horizontal="left" vertical="center"/>
    </x:xf>
    <x:xf numFmtId="0" fontId="6" fillId="0" borderId="0" xfId="0" applyAlignment="1">
      <x:alignment horizontal="center" vertical="center"/>
    </x:xf>
    <x:xf numFmtId="0" fontId="6" fillId="4" borderId="0" xfId="0" applyAlignment="1">
      <x:alignment horizontal="center" vertical="center"/>
    </x:xf>
    <x:xf numFmtId="0" fontId="5" fillId="4" borderId="0" xfId="0" applyAlignment="1">
      <x:alignment horizontal="left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4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 applyAlignment="1">
      <x:alignment horizontal="left" vertical="center"/>
    </x:xf>
    <x:xf numFmtId="0" fontId="12" fillId="4" borderId="0" xfId="0" applyNumberFormat="1" applyFont="1" applyFill="1" applyBorder="1" applyAlignment="1">
      <x:alignment horizontal="left" vertical="center"/>
    </x:xf>
    <x:xf numFmtId="0" fontId="13" fillId="0" borderId="0" xfId="0" applyNumberFormat="1" applyFont="1" applyFill="1" applyBorder="1"/>
    <x:xf numFmtId="0" fontId="12" fillId="0" borderId="0" xfId="0" applyNumberFormat="1" applyFont="1" applyFill="1" applyBorder="1" applyAlignment="1">
      <x:alignment horizontal="left" vertical="center" wrapText="1"/>
    </x:xf>
    <x:xf numFmtId="0" fontId="12" fillId="4" borderId="0" xfId="0" applyNumberFormat="1" applyFont="1" applyFill="1" applyBorder="1" applyAlignment="1">
      <x:alignment horizontal="left" vertical="center" wrapText="1"/>
    </x:xf>
    <x:xf numFmtId="0" fontId="13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5" fillId="4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6fe735056b40f8" /><Relationship Type="http://schemas.openxmlformats.org/officeDocument/2006/relationships/theme" Target="/xl/theme/theme1.xml" Id="R985b520151304392" /><Relationship Type="http://schemas.openxmlformats.org/officeDocument/2006/relationships/sharedStrings" Target="/xl/sharedStrings.xml" Id="R1e0ce9204f3947cc" /><Relationship Type="http://schemas.openxmlformats.org/officeDocument/2006/relationships/worksheet" Target="/xl/worksheets/sheet1.xml" Id="R6b76d5be6d554492" /><Relationship Type="http://schemas.openxmlformats.org/officeDocument/2006/relationships/worksheet" Target="/xl/worksheets/sheet2.xml" Id="R2d2b5af258bd45a5" /><Relationship Type="http://schemas.openxmlformats.org/officeDocument/2006/relationships/worksheet" Target="/xl/worksheets/sheet3.xml" Id="Rc2cb8f1bcab540dd" /><Relationship Type="http://schemas.openxmlformats.org/officeDocument/2006/relationships/worksheet" Target="/xl/worksheets/sheet4.xml" Id="Rf2d0add6600548c4" /><Relationship Type="http://schemas.openxmlformats.org/officeDocument/2006/relationships/worksheet" Target="/xl/worksheets/sheet5.xml" Id="R7646f5fa9c284ca0" /><Relationship Type="http://schemas.openxmlformats.org/officeDocument/2006/relationships/worksheet" Target="/xl/worksheets/sheet6.xml" Id="R01c5a526207a491d" /><Relationship Type="http://schemas.openxmlformats.org/officeDocument/2006/relationships/worksheet" Target="/xl/worksheets/sheet7.xml" Id="Rc1a96b98fec149c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f77464b1cb84a5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1cd60cc767c54fa0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各关星级锚曲线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strRef>
              <c:f>'关卡参数表'!L4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'关卡参数表'!$B$5:$B$104</c:f>
              <c:strCache>
                <c:ptCount val="0"/>
              </c:strCache>
            </c:strRef>
          </c:cat>
          <c:val>
            <c:numRef>
              <c:f>'关卡参数表'!$L$5:$L$104</c:f>
              <c:numCache>
                <c:formatCode>General</c:formatCode>
                <c:ptCount val="0"/>
              </c:numCache>
            </c:numRef>
          </c:val>
        </c:ser>
        <c:axId val="10"/>
        <c:axId val="100"/>
      </c:lineChart>
      <c:catAx>
        <c:axId val="10"/>
        <c:scaling>
          <c:orientation val="minMax"/>
        </c:scaling>
        <c:delete val="0"/>
        <c:axPos val="l"/>
        <c:numFmt formatCode="General"/>
        <c:majorTickMark val="none"/>
        <c:minorTickMark val="none"/>
        <c:crossAx val="10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numFmt formatCode="General"/>
        <c:majorTickMark val="none"/>
        <c:minorTickMark val="none"/>
        <c:crossAx val="10"/>
        <c:crossBetween val="between"/>
      </c:valAx>
    </c:plotArea>
    <c:plotVisOnly val="1"/>
  </c:chart>
</c:chartSpace>
</file>

<file path=xl/drawings/charts/chart2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干扰项数量随波次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strRef>
              <c:f>'无尽难度曲线'!F4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'无尽难度曲线'!$B$5:$B$44</c:f>
              <c:strCache>
                <c:ptCount val="0"/>
              </c:strCache>
            </c:strRef>
          </c:cat>
          <c:val>
            <c:numRef>
              <c:f>'无尽难度曲线'!$F$5:$F$44</c:f>
              <c:numCache>
                <c:formatCode>General</c:formatCode>
                <c:ptCount val="0"/>
              </c:numCache>
            </c:numRef>
          </c:val>
        </c:ser>
        <c:axId val="10"/>
        <c:axId val="100"/>
      </c:lineChart>
      <c:catAx>
        <c:axId val="10"/>
        <c:scaling>
          <c:orientation val="minMax"/>
        </c:scaling>
        <c:delete val="0"/>
        <c:axPos val="l"/>
        <c:numFmt formatCode="General"/>
        <c:majorTickMark val="none"/>
        <c:minorTickMark val="none"/>
        <c:crossAx val="10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numFmt formatCode="General"/>
        <c:majorTickMark val="none"/>
        <c:minorTickMark val="none"/>
        <c:crossAx val="10"/>
        <c:crossBetween val="between"/>
      </c:valAx>
    </c:plotArea>
    <c:plotVisOnly val="1"/>
  </c:chart>
</c:chartSpace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106</xdr:row>
      <xdr:rowOff>0</xdr:rowOff>
    </xdr:from>
    <xdr:ext cx="7920000" cy="252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77464b1cb84a5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0</xdr:colOff>
      <xdr:row>46</xdr:row>
      <xdr:rowOff>0</xdr:rowOff>
    </xdr:from>
    <xdr:ext cx="7200000" cy="252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d60cc767c54fa0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DecisionTable" displayName="DecisionTable" ref="B4:D31" headerRowCount="1" totalsRowCount="0" totalsRowShown="0">
  <x:tableColumns count="3">
    <x:tableColumn id="1" name="编号"/>
    <x:tableColumn id="2" name="决议"/>
    <x:tableColumn id="3" name="背景与影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89d06a7d0aa43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033f899069c243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.xml" Id="R9b1791932fb748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2" max="2" width="14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</x:cols>
  <x:sheetData>
    <x:row r="2" ht="34" customHeight="1">
      <x:c r="B2" s="1" t="str">
        <x:v>《找你妹大作战》数值表 v2.5</x:v>
      </x:c>
    </x:row>
    <x:row r="3">
      <x:c r="B3" s="2" t="str">
        <x:v>配套《玩法设计文档 v2.5》· 谜字坊规则本地化 · 供关卡 / 系统 / 数值开发使用</x:v>
      </x:c>
    </x:row>
    <x:row r="5">
      <x:c r="B5" s="3" t="inlineStr">
        <x:is>
          <x:t xml:space="preserve">核心规模</x:t>
        </x:is>
      </x:c>
    </x:row>
    <x:row r="6">
      <x:c r="B6" s="4" t="str">
        <x:v>主线关卡</x:v>
      </x:c>
      <x:c r="C6" s="5" t="str">
        <x:v>100 关（5 篇章 / 10 小章）</x:v>
      </x:c>
    </x:row>
    <x:row r="7">
      <x:c r="B7" s="4" t="inlineStr">
        <x:is>
          <x:t xml:space="preserve">伙伴</x:t>
        </x:is>
      </x:c>
      <x:c r="C7" s="5" t="inlineStr">
        <x:is>
          <x:t xml:space="preserve">8 位 × 8 种招募方式</x:t>
        </x:is>
      </x:c>
    </x:row>
    <x:row r="8">
      <x:c r="B8" s="4" t="inlineStr">
        <x:is>
          <x:t xml:space="preserve">物品素材</x:t>
        </x:is>
      </x:c>
      <x:c r="C8" s="5" t="inlineStr">
        <x:is>
          <x:t xml:space="preserve">6 主题 × 40 = 240 件</x:t>
        </x:is>
      </x:c>
    </x:row>
    <x:row r="9">
      <x:c r="B9" s="4" t="inlineStr">
        <x:is>
          <x:t xml:space="preserve">道具</x:t>
        </x:is>
      </x:c>
      <x:c r="C9" s="5" t="inlineStr">
        <x:is>
          <x:t xml:space="preserve">4 种（无尽模式禁用）</x:t>
        </x:is>
      </x:c>
    </x:row>
    <x:row r="10">
      <x:c r="B10" s="4" t="inlineStr">
        <x:is>
          <x:t xml:space="preserve">无尽波次表</x:t>
        </x:is>
      </x:c>
      <x:c r="C10" s="5" t="inlineStr">
        <x:is>
          <x:t xml:space="preserve">40 波（含 3 个高压波）</x:t>
        </x:is>
      </x:c>
    </x:row>
    <x:row r="11">
      <x:c r="B11" s="4" t="inlineStr">
        <x:is>
          <x:t xml:space="preserve">理论满加成</x:t>
        </x:is>
      </x:c>
      <x:c r="C11" s="5" t="inlineStr">
        <x:is>
          <x:t xml:space="preserve">+22%（图鉴12+伙伴10）</x:t>
        </x:is>
      </x:c>
    </x:row>
    <x:row r="12">
      <x:c r="B12" s="4" t="inlineStr">
        <x:is>
          <x:t xml:space="preserve">星级锚模型</x:t>
        </x:is>
      </x:c>
      <x:c r="C12" s="5" t="inlineStr">
        <x:is>
          <x:t xml:space="preserve">StarBase = T×M(n) − 0.4×h(n)（极限速点，D10）</x:t>
        </x:is>
      </x:c>
    </x:row>
    <x:row r="14">
      <x:c r="B14" s="3" t="inlineStr">
        <x:is>
          <x:t xml:space="preserve">工作表索引</x:t>
        </x:is>
      </x:c>
    </x:row>
    <x:row r="15">
      <x:c r="B15" s="6" t="inlineStr">
        <x:is>
          <x:t xml:space="preserve">关卡参数表</x:t>
        </x:is>
      </x:c>
      <x:c r="C15" s="5" t="inlineStr">
        <x:is>
          <x:t xml:space="preserve">P0 · 100 关逐关参数（类型/目标/干扰/时长/星级锚/星级线），星级列为公式</x:t>
        </x:is>
      </x:c>
    </x:row>
    <x:row r="16">
      <x:c r="B16" s="6" t="inlineStr">
        <x:is>
          <x:t xml:space="preserve">星锚系数表</x:t>
        </x:is>
      </x:c>
      <x:c r="C16" s="5" t="inlineStr">
        <x:is>
          <x:t xml:space="preserve">P1 · M(n)/h(n) 查表（n=1..60），关卡表星级锚的数据源</x:t>
        </x:is>
      </x:c>
    </x:row>
    <x:row r="17">
      <x:c r="B17" s="6" t="inlineStr">
        <x:is>
          <x:t xml:space="preserve">无尽难度曲线</x:t>
        </x:is>
      </x:c>
      <x:c r="C17" s="5" t="inlineStr">
        <x:is>
          <x:t xml:space="preserve">P2 · 第 1~40 波参数与预期清关耗时</x:t>
        </x:is>
      </x:c>
    </x:row>
    <x:row r="18">
      <x:c r="B18" s="6" t="inlineStr">
        <x:is>
          <x:t xml:space="preserve">道具经济表</x:t>
        </x:is>
      </x:c>
      <x:c r="C18" s="5" t="inlineStr">
        <x:is>
          <x:t xml:space="preserve">P2 · 4 道具的获取/消耗（分无视频/看视频玩家）/上限/反滥用</x:t>
        </x:is>
      </x:c>
    </x:row>
    <x:row r="19">
      <x:c r="B19" s="6" t="inlineStr">
        <x:is>
          <x:t xml:space="preserve">伙伴招募条件</x:t>
        </x:is>
      </x:c>
      <x:c r="C19" s="5" t="inlineStr">
        <x:is>
          <x:t xml:space="preserve">P1 · 8 伙伴招募条件速查（完整规格见 数值表_src/partners_spec.md）</x:t>
        </x:is>
      </x:c>
    </x:row>
    <x:row r="20">
      <x:c r="B20" s="6" t="str">
        <x:v>数值决议</x:v>
      </x:c>
      <x:c r="C20" s="5" t="str">
        <x:v>全组统一的数值口径决议 D1~D27（开发必读）</x:v>
      </x:c>
    </x:row>
    <x:row r="22">
      <x:c r="B22" s="7" t="inlineStr">
        <x:is>
          <x:t xml:space="preserve">静态蓝字 = 输入参数；黑字 = 公式计算。源数据与生成脚本见 数值表_src/ 目录。</x:t>
        </x:is>
      </x:c>
    </x:row>
  </x:sheetData>
  <x:mergeCells>
    <x:mergeCell ref="B22:H22"/>
    <x:mergeCell ref="C20:H20"/>
    <x:mergeCell ref="C19:H19"/>
    <x:mergeCell ref="C16:H16"/>
    <x:mergeCell ref="C11:E11"/>
    <x:mergeCell ref="C8:E8"/>
    <x:mergeCell ref="C9:E9"/>
    <x:mergeCell ref="C15:H15"/>
    <x:mergeCell ref="B2:H2"/>
    <x:mergeCell ref="C18:H18"/>
    <x:mergeCell ref="C17:H17"/>
    <x:mergeCell ref="C7:E7"/>
    <x:mergeCell ref="B3:H3"/>
    <x:mergeCell ref="B5:H5"/>
    <x:mergeCell ref="C12:E12"/>
    <x:mergeCell ref="C6:E6"/>
    <x:mergeCell ref="C10:E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2" max="2" width="7" customWidth="1"/>
    <x:col min="3" max="3" width="6" customWidth="1"/>
    <x:col min="4" max="4" width="11" customWidth="1"/>
    <x:col min="5" max="5" width="11" customWidth="1"/>
    <x:col min="6" max="6" width="9" customWidth="1"/>
    <x:col min="7" max="7" width="9" customWidth="1"/>
    <x:col min="8" max="8" width="9" customWidth="1"/>
    <x:col min="9" max="9" width="8" customWidth="1"/>
    <x:col min="10" max="10" width="9" customWidth="1"/>
    <x:col min="11" max="11" width="9" customWidth="1"/>
    <x:col min="12" max="12" width="11" customWidth="1"/>
    <x:col min="13" max="13" width="10" customWidth="1"/>
    <x:col min="14" max="14" width="10" customWidth="1"/>
    <x:col min="15" max="15" width="9" customWidth="1"/>
  </x:cols>
  <x:sheetData>
    <x:row r="2" ht="30" customHeight="1">
      <x:c r="B2" s="8" t="inlineStr">
        <x:is>
          <x:t xml:space="preserve">关卡参数表（100 关）</x:t>
        </x:is>
      </x:c>
    </x:row>
    <x:row r="3">
      <x:c r="B3" s="9" t="inlineStr">
        <x:is>
          <x:t xml:space="preserve">蓝字=输入参数；黑字=公式。类型：standard标准 cluster集簇 mist迷踪 night夜航 speed极速 boss。星级锚=T×M(n)−0.4×h(n)，M/h 见《星锚系数表》（D10）</x:t>
        </x:is>
      </x:c>
    </x:row>
    <x:row r="4">
      <x:c r="B4" s="10" t="inlineStr">
        <x:is>
          <x:t xml:space="preserve">关卡</x:t>
        </x:is>
      </x:c>
      <x:c r="C4" s="10" t="str">
        <x:v>小章</x:v>
      </x:c>
      <x:c r="D4" s="10" t="inlineStr">
        <x:is>
          <x:t xml:space="preserve">主题</x:t>
        </x:is>
      </x:c>
      <x:c r="E4" s="10" t="inlineStr">
        <x:is>
          <x:t xml:space="preserve">类型</x:t>
        </x:is>
      </x:c>
      <x:c r="F4" s="10" t="inlineStr">
        <x:is>
          <x:t xml:space="preserve">目标种类</x:t>
        </x:is>
      </x:c>
      <x:c r="G4" s="10" t="inlineStr">
        <x:is>
          <x:t xml:space="preserve">每种份数</x:t>
        </x:is>
      </x:c>
      <x:c r="H4" s="10" t="inlineStr">
        <x:is>
          <x:t xml:space="preserve">目标总数</x:t>
        </x:is>
      </x:c>
      <x:c r="I4" s="10" t="inlineStr">
        <x:is>
          <x:t xml:space="preserve">干扰项</x:t>
        </x:is>
      </x:c>
      <x:c r="J4" s="10" t="inlineStr">
        <x:is>
          <x:t xml:space="preserve">类型系数</x:t>
        </x:is>
      </x:c>
      <x:c r="K4" s="10" t="inlineStr">
        <x:is>
          <x:t xml:space="preserve">限时(秒)</x:t>
        </x:is>
      </x:c>
      <x:c r="L4" s="10" t="inlineStr">
        <x:is>
          <x:t xml:space="preserve">星级锚</x:t>
        </x:is>
      </x:c>
      <x:c r="M4" s="10" t="inlineStr">
        <x:is>
          <x:t xml:space="preserve">⭐⭐线</x:t>
        </x:is>
      </x:c>
      <x:c r="N4" s="10" t="inlineStr">
        <x:is>
          <x:t xml:space="preserve">⭐⭐⭐线</x:t>
        </x:is>
      </x:c>
      <x:c r="O4" s="10" t="inlineStr">
        <x:is>
          <x:t xml:space="preserve">解锁需星</x:t>
        </x:is>
      </x:c>
    </x:row>
    <x:row r="5">
      <x:c r="B5" s="11" t="n">
        <x:v>1</x:v>
      </x:c>
      <x:c r="C5" s="11" t="n">
        <x:v>1</x:v>
      </x:c>
      <x:c r="D5" s="11" t="inlineStr">
        <x:is>
          <x:t xml:space="preserve">kitchen</x:t>
        </x:is>
      </x:c>
      <x:c r="E5" s="11" t="inlineStr">
        <x:is>
          <x:t xml:space="preserve">standard</x:t>
        </x:is>
      </x:c>
      <x:c r="F5" s="11" t="n">
        <x:v>3</x:v>
      </x:c>
      <x:c r="G5" s="11" t="n">
        <x:v>1</x:v>
      </x:c>
      <x:c r="H5" s="12" t="n">
        <x:f>F5*G5</x:f>
        <x:v>3</x:v>
      </x:c>
      <x:c r="I5" s="11" t="n">
        <x:v>30</x:v>
      </x:c>
      <x:c r="J5" s="11" t="n">
        <x:v>1</x:v>
      </x:c>
      <x:c r="K5" s="12" t="n">
        <x:f>ROUND((45+H5*8)*J5,0)</x:f>
        <x:v>69</x:v>
      </x:c>
      <x:c r="L5" s="12" t="n">
        <x:f>ROUND(K5*(IF(H5&lt;=10,0.9*H5+0.05*H5*(H5+1),14.5+1.9*(H5-10)))-0.4*IF(H5&lt;=10,0.45*H5*(H5-1)+H5*(H5^2-1)/30,0.95*H5*(H5-1)-12),2)</x:f>
        <x:v>226.3</x:v>
      </x:c>
      <x:c r="M5" s="12" t="n">
        <x:f>FLOOR(L5*0.55,0.1)</x:f>
        <x:v>124.4</x:v>
      </x:c>
      <x:c r="N5" s="12" t="n">
        <x:f>FLOOR(L5*0.75,0.1)</x:f>
        <x:v>169.70000000000002</x:v>
      </x:c>
    </x:row>
    <x:row r="6">
      <x:c r="B6" s="13" t="n">
        <x:v>2</x:v>
      </x:c>
      <x:c r="C6" s="13" t="n">
        <x:v>1</x:v>
      </x:c>
      <x:c r="D6" s="13" t="inlineStr">
        <x:is>
          <x:t xml:space="preserve">toys</x:t>
        </x:is>
      </x:c>
      <x:c r="E6" s="13" t="inlineStr">
        <x:is>
          <x:t xml:space="preserve">standard</x:t>
        </x:is>
      </x:c>
      <x:c r="F6" s="13" t="n">
        <x:v>3</x:v>
      </x:c>
      <x:c r="G6" s="13" t="n">
        <x:v>1</x:v>
      </x:c>
      <x:c r="H6" s="14" t="n">
        <x:f>F6*G6</x:f>
        <x:v>3</x:v>
      </x:c>
      <x:c r="I6" s="13" t="n">
        <x:v>38</x:v>
      </x:c>
      <x:c r="J6" s="13" t="n">
        <x:v>1</x:v>
      </x:c>
      <x:c r="K6" s="14" t="n">
        <x:f>ROUND((45+H6*8)*J6,0)</x:f>
        <x:v>69</x:v>
      </x:c>
      <x:c r="L6" s="14" t="n">
        <x:f>ROUND(K6*(IF(H6&lt;=10,0.9*H6+0.05*H6*(H6+1),14.5+1.9*(H6-10)))-0.4*IF(H6&lt;=10,0.45*H6*(H6-1)+H6*(H6^2-1)/30,0.95*H6*(H6-1)-12),2)</x:f>
        <x:v>226.3</x:v>
      </x:c>
      <x:c r="M6" s="14" t="n">
        <x:f>FLOOR(L6*0.55,0.1)</x:f>
        <x:v>124.4</x:v>
      </x:c>
      <x:c r="N6" s="14" t="n">
        <x:f>FLOOR(L6*0.75,0.1)</x:f>
        <x:v>169.70000000000002</x:v>
      </x:c>
      <x:c r="O6" s="15" t="n"/>
    </x:row>
    <x:row r="7">
      <x:c r="B7" s="11" t="n">
        <x:v>3</x:v>
      </x:c>
      <x:c r="C7" s="11" t="n">
        <x:v>1</x:v>
      </x:c>
      <x:c r="D7" s="11" t="inlineStr">
        <x:is>
          <x:t xml:space="preserve">kitchen</x:t>
        </x:is>
      </x:c>
      <x:c r="E7" s="11" t="inlineStr">
        <x:is>
          <x:t xml:space="preserve">standard</x:t>
        </x:is>
      </x:c>
      <x:c r="F7" s="11" t="n">
        <x:v>3</x:v>
      </x:c>
      <x:c r="G7" s="11" t="n">
        <x:v>2</x:v>
      </x:c>
      <x:c r="H7" s="12" t="n">
        <x:f>F7*G7</x:f>
        <x:v>6</x:v>
      </x:c>
      <x:c r="I7" s="11" t="n">
        <x:v>41</x:v>
      </x:c>
      <x:c r="J7" s="11" t="n">
        <x:v>1</x:v>
      </x:c>
      <x:c r="K7" s="12" t="n">
        <x:f>ROUND((45+H7*8)*J7,0)</x:f>
        <x:v>93</x:v>
      </x:c>
      <x:c r="L7" s="12" t="n">
        <x:f>ROUND(K7*(IF(H7&lt;=10,0.9*H7+0.05*H7*(H7+1),14.5+1.9*(H7-10)))-0.4*IF(H7&lt;=10,0.45*H7*(H7-1)+H7*(H7^2-1)/30,0.95*H7*(H7-1)-12),2)</x:f>
        <x:v>689.3</x:v>
      </x:c>
      <x:c r="M7" s="12" t="n">
        <x:f>FLOOR(L7*0.55,0.1)</x:f>
        <x:v>379.1</x:v>
      </x:c>
      <x:c r="N7" s="12" t="n">
        <x:f>FLOOR(L7*0.75,0.1)</x:f>
        <x:v>516.9</x:v>
      </x:c>
    </x:row>
    <x:row r="8">
      <x:c r="B8" s="13" t="n">
        <x:v>4</x:v>
      </x:c>
      <x:c r="C8" s="13" t="n">
        <x:v>1</x:v>
      </x:c>
      <x:c r="D8" s="13" t="inlineStr">
        <x:is>
          <x:t xml:space="preserve">toys</x:t>
        </x:is>
      </x:c>
      <x:c r="E8" s="13" t="inlineStr">
        <x:is>
          <x:t xml:space="preserve">standard</x:t>
        </x:is>
      </x:c>
      <x:c r="F8" s="13" t="n">
        <x:v>3</x:v>
      </x:c>
      <x:c r="G8" s="13" t="n">
        <x:v>2</x:v>
      </x:c>
      <x:c r="H8" s="14" t="n">
        <x:f>F8*G8</x:f>
        <x:v>6</x:v>
      </x:c>
      <x:c r="I8" s="13" t="n">
        <x:v>44</x:v>
      </x:c>
      <x:c r="J8" s="13" t="n">
        <x:v>1</x:v>
      </x:c>
      <x:c r="K8" s="14" t="n">
        <x:f>ROUND((45+H8*8)*J8,0)</x:f>
        <x:v>93</x:v>
      </x:c>
      <x:c r="L8" s="14" t="n">
        <x:f>ROUND(K8*(IF(H8&lt;=10,0.9*H8+0.05*H8*(H8+1),14.5+1.9*(H8-10)))-0.4*IF(H8&lt;=10,0.45*H8*(H8-1)+H8*(H8^2-1)/30,0.95*H8*(H8-1)-12),2)</x:f>
        <x:v>689.3</x:v>
      </x:c>
      <x:c r="M8" s="14" t="n">
        <x:f>FLOOR(L8*0.55,0.1)</x:f>
        <x:v>379.1</x:v>
      </x:c>
      <x:c r="N8" s="14" t="n">
        <x:f>FLOOR(L8*0.75,0.1)</x:f>
        <x:v>516.9</x:v>
      </x:c>
      <x:c r="O8" s="15" t="n"/>
    </x:row>
    <x:row r="9">
      <x:c r="B9" s="11" t="n">
        <x:v>5</x:v>
      </x:c>
      <x:c r="C9" s="11" t="n">
        <x:v>1</x:v>
      </x:c>
      <x:c r="D9" s="11" t="inlineStr">
        <x:is>
          <x:t xml:space="preserve">kitchen</x:t>
        </x:is>
      </x:c>
      <x:c r="E9" s="11" t="inlineStr">
        <x:is>
          <x:t xml:space="preserve">standard</x:t>
        </x:is>
      </x:c>
      <x:c r="F9" s="11" t="n">
        <x:v>3</x:v>
      </x:c>
      <x:c r="G9" s="11" t="n">
        <x:v>2</x:v>
      </x:c>
      <x:c r="H9" s="12" t="n">
        <x:f>F9*G9</x:f>
        <x:v>6</x:v>
      </x:c>
      <x:c r="I9" s="11" t="n">
        <x:v>46</x:v>
      </x:c>
      <x:c r="J9" s="11" t="n">
        <x:v>1</x:v>
      </x:c>
      <x:c r="K9" s="12" t="n">
        <x:f>ROUND((45+H9*8)*J9,0)</x:f>
        <x:v>93</x:v>
      </x:c>
      <x:c r="L9" s="12" t="n">
        <x:f>ROUND(K9*(IF(H9&lt;=10,0.9*H9+0.05*H9*(H9+1),14.5+1.9*(H9-10)))-0.4*IF(H9&lt;=10,0.45*H9*(H9-1)+H9*(H9^2-1)/30,0.95*H9*(H9-1)-12),2)</x:f>
        <x:v>689.3</x:v>
      </x:c>
      <x:c r="M9" s="12" t="n">
        <x:f>FLOOR(L9*0.55,0.1)</x:f>
        <x:v>379.1</x:v>
      </x:c>
      <x:c r="N9" s="12" t="n">
        <x:f>FLOOR(L9*0.75,0.1)</x:f>
        <x:v>516.9</x:v>
      </x:c>
    </x:row>
    <x:row r="10">
      <x:c r="B10" s="13" t="n">
        <x:v>6</x:v>
      </x:c>
      <x:c r="C10" s="13" t="n">
        <x:v>1</x:v>
      </x:c>
      <x:c r="D10" s="13" t="inlineStr">
        <x:is>
          <x:t xml:space="preserve">toys</x:t>
        </x:is>
      </x:c>
      <x:c r="E10" s="13" t="inlineStr">
        <x:is>
          <x:t xml:space="preserve">standard</x:t>
        </x:is>
      </x:c>
      <x:c r="F10" s="13" t="n">
        <x:v>4</x:v>
      </x:c>
      <x:c r="G10" s="13" t="n">
        <x:v>3</x:v>
      </x:c>
      <x:c r="H10" s="14" t="n">
        <x:f>F10*G10</x:f>
        <x:v>12</x:v>
      </x:c>
      <x:c r="I10" s="13" t="n">
        <x:v>48</x:v>
      </x:c>
      <x:c r="J10" s="13" t="n">
        <x:v>1</x:v>
      </x:c>
      <x:c r="K10" s="14" t="n">
        <x:f>ROUND((45+H10*8)*J10,0)</x:f>
        <x:v>141</x:v>
      </x:c>
      <x:c r="L10" s="14" t="n">
        <x:f>ROUND(K10*(IF(H10&lt;=10,0.9*H10+0.05*H10*(H10+1),14.5+1.9*(H10-10)))-0.4*IF(H10&lt;=10,0.45*H10*(H10-1)+H10*(H10^2-1)/30,0.95*H10*(H10-1)-12),2)</x:f>
        <x:v>2534.94</x:v>
      </x:c>
      <x:c r="M10" s="14" t="n">
        <x:f>FLOOR(L10*0.55,0.1)</x:f>
        <x:v>1394.2</x:v>
      </x:c>
      <x:c r="N10" s="14" t="n">
        <x:f>FLOOR(L10*0.75,0.1)</x:f>
        <x:v>1901.2</x:v>
      </x:c>
      <x:c r="O10" s="15" t="n"/>
    </x:row>
    <x:row r="11">
      <x:c r="B11" s="11" t="n">
        <x:v>7</x:v>
      </x:c>
      <x:c r="C11" s="11" t="n">
        <x:v>1</x:v>
      </x:c>
      <x:c r="D11" s="11" t="inlineStr">
        <x:is>
          <x:t xml:space="preserve">kitchen</x:t>
        </x:is>
      </x:c>
      <x:c r="E11" s="11" t="inlineStr">
        <x:is>
          <x:t xml:space="preserve">standard</x:t>
        </x:is>
      </x:c>
      <x:c r="F11" s="11" t="n">
        <x:v>4</x:v>
      </x:c>
      <x:c r="G11" s="11" t="n">
        <x:v>3</x:v>
      </x:c>
      <x:c r="H11" s="12" t="n">
        <x:f>F11*G11</x:f>
        <x:v>12</x:v>
      </x:c>
      <x:c r="I11" s="11" t="n">
        <x:v>50</x:v>
      </x:c>
      <x:c r="J11" s="11" t="n">
        <x:v>1</x:v>
      </x:c>
      <x:c r="K11" s="12" t="n">
        <x:f>ROUND((45+H11*8)*J11,0)</x:f>
        <x:v>141</x:v>
      </x:c>
      <x:c r="L11" s="12" t="n">
        <x:f>ROUND(K11*(IF(H11&lt;=10,0.9*H11+0.05*H11*(H11+1),14.5+1.9*(H11-10)))-0.4*IF(H11&lt;=10,0.45*H11*(H11-1)+H11*(H11^2-1)/30,0.95*H11*(H11-1)-12),2)</x:f>
        <x:v>2534.94</x:v>
      </x:c>
      <x:c r="M11" s="12" t="n">
        <x:f>FLOOR(L11*0.55,0.1)</x:f>
        <x:v>1394.2</x:v>
      </x:c>
      <x:c r="N11" s="12" t="n">
        <x:f>FLOOR(L11*0.75,0.1)</x:f>
        <x:v>1901.2</x:v>
      </x:c>
    </x:row>
    <x:row r="12">
      <x:c r="B12" s="13" t="n">
        <x:v>8</x:v>
      </x:c>
      <x:c r="C12" s="13" t="n">
        <x:v>1</x:v>
      </x:c>
      <x:c r="D12" s="13" t="inlineStr">
        <x:is>
          <x:t xml:space="preserve">toys</x:t>
        </x:is>
      </x:c>
      <x:c r="E12" s="13" t="inlineStr">
        <x:is>
          <x:t xml:space="preserve">standard</x:t>
        </x:is>
      </x:c>
      <x:c r="F12" s="13" t="n">
        <x:v>4</x:v>
      </x:c>
      <x:c r="G12" s="13" t="n">
        <x:v>3</x:v>
      </x:c>
      <x:c r="H12" s="14" t="n">
        <x:f>F12*G12</x:f>
        <x:v>12</x:v>
      </x:c>
      <x:c r="I12" s="13" t="n">
        <x:v>51</x:v>
      </x:c>
      <x:c r="J12" s="13" t="n">
        <x:v>1</x:v>
      </x:c>
      <x:c r="K12" s="14" t="n">
        <x:f>ROUND((45+H12*8)*J12,0)</x:f>
        <x:v>141</x:v>
      </x:c>
      <x:c r="L12" s="14" t="n">
        <x:f>ROUND(K12*(IF(H12&lt;=10,0.9*H12+0.05*H12*(H12+1),14.5+1.9*(H12-10)))-0.4*IF(H12&lt;=10,0.45*H12*(H12-1)+H12*(H12^2-1)/30,0.95*H12*(H12-1)-12),2)</x:f>
        <x:v>2534.94</x:v>
      </x:c>
      <x:c r="M12" s="14" t="n">
        <x:f>FLOOR(L12*0.55,0.1)</x:f>
        <x:v>1394.2</x:v>
      </x:c>
      <x:c r="N12" s="14" t="n">
        <x:f>FLOOR(L12*0.75,0.1)</x:f>
        <x:v>1901.2</x:v>
      </x:c>
      <x:c r="O12" s="15" t="n"/>
    </x:row>
    <x:row r="13">
      <x:c r="B13" s="11" t="n">
        <x:v>9</x:v>
      </x:c>
      <x:c r="C13" s="11" t="n">
        <x:v>1</x:v>
      </x:c>
      <x:c r="D13" s="11" t="inlineStr">
        <x:is>
          <x:t xml:space="preserve">kitchen</x:t>
        </x:is>
      </x:c>
      <x:c r="E13" s="11" t="inlineStr">
        <x:is>
          <x:t xml:space="preserve">standard</x:t>
        </x:is>
      </x:c>
      <x:c r="F13" s="11" t="n">
        <x:v>4</x:v>
      </x:c>
      <x:c r="G13" s="11" t="n">
        <x:v>3</x:v>
      </x:c>
      <x:c r="H13" s="12" t="n">
        <x:f>F13*G13</x:f>
        <x:v>12</x:v>
      </x:c>
      <x:c r="I13" s="11" t="n">
        <x:v>53</x:v>
      </x:c>
      <x:c r="J13" s="11" t="n">
        <x:v>1</x:v>
      </x:c>
      <x:c r="K13" s="12" t="n">
        <x:f>ROUND((45+H13*8)*J13,0)</x:f>
        <x:v>141</x:v>
      </x:c>
      <x:c r="L13" s="12" t="n">
        <x:f>ROUND(K13*(IF(H13&lt;=10,0.9*H13+0.05*H13*(H13+1),14.5+1.9*(H13-10)))-0.4*IF(H13&lt;=10,0.45*H13*(H13-1)+H13*(H13^2-1)/30,0.95*H13*(H13-1)-12),2)</x:f>
        <x:v>2534.94</x:v>
      </x:c>
      <x:c r="M13" s="12" t="n">
        <x:f>FLOOR(L13*0.55,0.1)</x:f>
        <x:v>1394.2</x:v>
      </x:c>
      <x:c r="N13" s="12" t="n">
        <x:f>FLOOR(L13*0.75,0.1)</x:f>
        <x:v>1901.2</x:v>
      </x:c>
    </x:row>
    <x:row r="14">
      <x:c r="B14" s="16" t="n">
        <x:v>10</x:v>
      </x:c>
      <x:c r="C14" s="16" t="n">
        <x:v>1</x:v>
      </x:c>
      <x:c r="D14" s="16" t="inlineStr">
        <x:is>
          <x:t xml:space="preserve">toys</x:t>
        </x:is>
      </x:c>
      <x:c r="E14" s="16" t="inlineStr">
        <x:is>
          <x:t xml:space="preserve">boss</x:t>
        </x:is>
      </x:c>
      <x:c r="F14" s="16" t="n">
        <x:v>8</x:v>
      </x:c>
      <x:c r="G14" s="16" t="n">
        <x:v>3</x:v>
      </x:c>
      <x:c r="H14" s="17" t="n">
        <x:f>F14*G14</x:f>
        <x:v>24</x:v>
      </x:c>
      <x:c r="I14" s="16" t="n">
        <x:v>62</x:v>
      </x:c>
      <x:c r="J14" s="16" t="n">
        <x:v>0.9</x:v>
      </x:c>
      <x:c r="K14" s="17" t="n">
        <x:f>ROUND((45+H14*8)*J14,0)</x:f>
        <x:v>213</x:v>
      </x:c>
      <x:c r="L14" s="17" t="n">
        <x:f>ROUND(K14*(IF(H14&lt;=10,0.9*H14+0.05*H14*(H14+1),14.5+1.9*(H14-10)))-0.4*IF(H14&lt;=10,0.45*H14*(H14-1)+H14*(H14^2-1)/30,0.95*H14*(H14-1)-12),2)</x:f>
        <x:v>8549.34</x:v>
      </x:c>
      <x:c r="M14" s="17" t="n">
        <x:f>FLOOR(L14*0.55,0.1)</x:f>
        <x:v>4702.1</x:v>
      </x:c>
      <x:c r="N14" s="17" t="n">
        <x:f>FLOOR(L14*0.75,0.1)</x:f>
        <x:v>6412</x:v>
      </x:c>
      <x:c r="O14" s="18" t="n"/>
    </x:row>
    <x:row r="15">
      <x:c r="B15" s="11" t="n">
        <x:v>11</x:v>
      </x:c>
      <x:c r="C15" s="11" t="n">
        <x:v>2</x:v>
      </x:c>
      <x:c r="D15" s="11" t="inlineStr">
        <x:is>
          <x:t xml:space="preserve">kitchen</x:t>
        </x:is>
      </x:c>
      <x:c r="E15" s="11" t="inlineStr">
        <x:is>
          <x:t xml:space="preserve">standard</x:t>
        </x:is>
      </x:c>
      <x:c r="F15" s="11" t="n">
        <x:v>5</x:v>
      </x:c>
      <x:c r="G15" s="11" t="n">
        <x:v>3</x:v>
      </x:c>
      <x:c r="H15" s="12" t="n">
        <x:f>F15*G15</x:f>
        <x:v>15</x:v>
      </x:c>
      <x:c r="I15" s="11" t="n">
        <x:v>55</x:v>
      </x:c>
      <x:c r="J15" s="11" t="n">
        <x:v>1</x:v>
      </x:c>
      <x:c r="K15" s="12" t="n">
        <x:f>ROUND((45+H15*8)*J15,0)</x:f>
        <x:v>165</x:v>
      </x:c>
      <x:c r="L15" s="12" t="n">
        <x:f>ROUND(K15*(IF(H15&lt;=10,0.9*H15+0.05*H15*(H15+1),14.5+1.9*(H15-10)))-0.4*IF(H15&lt;=10,0.45*H15*(H15-1)+H15*(H15^2-1)/30,0.95*H15*(H15-1)-12),2)</x:f>
        <x:v>3885</x:v>
      </x:c>
      <x:c r="M15" s="12" t="n">
        <x:f>FLOOR(L15*0.55,0.1)</x:f>
        <x:v>2136.7000000000003</x:v>
      </x:c>
      <x:c r="N15" s="12" t="n">
        <x:f>FLOOR(L15*0.75,0.1)</x:f>
        <x:v>2913.7000000000003</x:v>
      </x:c>
    </x:row>
    <x:row r="16">
      <x:c r="B16" s="13" t="n">
        <x:v>12</x:v>
      </x:c>
      <x:c r="C16" s="13" t="n">
        <x:v>2</x:v>
      </x:c>
      <x:c r="D16" s="13" t="inlineStr">
        <x:is>
          <x:t xml:space="preserve">toys</x:t>
        </x:is>
      </x:c>
      <x:c r="E16" s="13" t="inlineStr">
        <x:is>
          <x:t xml:space="preserve">standard</x:t>
        </x:is>
      </x:c>
      <x:c r="F16" s="13" t="n">
        <x:v>5</x:v>
      </x:c>
      <x:c r="G16" s="13" t="n">
        <x:v>3</x:v>
      </x:c>
      <x:c r="H16" s="14" t="n">
        <x:f>F16*G16</x:f>
        <x:v>15</x:v>
      </x:c>
      <x:c r="I16" s="13" t="n">
        <x:v>57</x:v>
      </x:c>
      <x:c r="J16" s="13" t="n">
        <x:v>1</x:v>
      </x:c>
      <x:c r="K16" s="14" t="n">
        <x:f>ROUND((45+H16*8)*J16,0)</x:f>
        <x:v>165</x:v>
      </x:c>
      <x:c r="L16" s="14" t="n">
        <x:f>ROUND(K16*(IF(H16&lt;=10,0.9*H16+0.05*H16*(H16+1),14.5+1.9*(H16-10)))-0.4*IF(H16&lt;=10,0.45*H16*(H16-1)+H16*(H16^2-1)/30,0.95*H16*(H16-1)-12),2)</x:f>
        <x:v>3885</x:v>
      </x:c>
      <x:c r="M16" s="14" t="n">
        <x:f>FLOOR(L16*0.55,0.1)</x:f>
        <x:v>2136.7000000000003</x:v>
      </x:c>
      <x:c r="N16" s="14" t="n">
        <x:f>FLOOR(L16*0.75,0.1)</x:f>
        <x:v>2913.7000000000003</x:v>
      </x:c>
      <x:c r="O16" s="15" t="n"/>
    </x:row>
    <x:row r="17">
      <x:c r="B17" s="11" t="n">
        <x:v>13</x:v>
      </x:c>
      <x:c r="C17" s="11" t="n">
        <x:v>2</x:v>
      </x:c>
      <x:c r="D17" s="11" t="inlineStr">
        <x:is>
          <x:t xml:space="preserve">kitchen</x:t>
        </x:is>
      </x:c>
      <x:c r="E17" s="11" t="inlineStr">
        <x:is>
          <x:t xml:space="preserve">standard</x:t>
        </x:is>
      </x:c>
      <x:c r="F17" s="11" t="n">
        <x:v>5</x:v>
      </x:c>
      <x:c r="G17" s="11" t="n">
        <x:v>3</x:v>
      </x:c>
      <x:c r="H17" s="12" t="n">
        <x:f>F17*G17</x:f>
        <x:v>15</x:v>
      </x:c>
      <x:c r="I17" s="11" t="n">
        <x:v>58</x:v>
      </x:c>
      <x:c r="J17" s="11" t="n">
        <x:v>1</x:v>
      </x:c>
      <x:c r="K17" s="12" t="n">
        <x:f>ROUND((45+H17*8)*J17,0)</x:f>
        <x:v>165</x:v>
      </x:c>
      <x:c r="L17" s="12" t="n">
        <x:f>ROUND(K17*(IF(H17&lt;=10,0.9*H17+0.05*H17*(H17+1),14.5+1.9*(H17-10)))-0.4*IF(H17&lt;=10,0.45*H17*(H17-1)+H17*(H17^2-1)/30,0.95*H17*(H17-1)-12),2)</x:f>
        <x:v>3885</x:v>
      </x:c>
      <x:c r="M17" s="12" t="n">
        <x:f>FLOOR(L17*0.55,0.1)</x:f>
        <x:v>2136.7000000000003</x:v>
      </x:c>
      <x:c r="N17" s="12" t="n">
        <x:f>FLOOR(L17*0.75,0.1)</x:f>
        <x:v>2913.7000000000003</x:v>
      </x:c>
    </x:row>
    <x:row r="18">
      <x:c r="B18" s="13" t="n">
        <x:v>14</x:v>
      </x:c>
      <x:c r="C18" s="13" t="n">
        <x:v>2</x:v>
      </x:c>
      <x:c r="D18" s="13" t="inlineStr">
        <x:is>
          <x:t xml:space="preserve">toys</x:t>
        </x:is>
      </x:c>
      <x:c r="E18" s="13" t="inlineStr">
        <x:is>
          <x:t xml:space="preserve">standard</x:t>
        </x:is>
      </x:c>
      <x:c r="F18" s="13" t="n">
        <x:v>5</x:v>
      </x:c>
      <x:c r="G18" s="13" t="n">
        <x:v>3</x:v>
      </x:c>
      <x:c r="H18" s="14" t="n">
        <x:f>F18*G18</x:f>
        <x:v>15</x:v>
      </x:c>
      <x:c r="I18" s="13" t="n">
        <x:v>59</x:v>
      </x:c>
      <x:c r="J18" s="13" t="n">
        <x:v>1</x:v>
      </x:c>
      <x:c r="K18" s="14" t="n">
        <x:f>ROUND((45+H18*8)*J18,0)</x:f>
        <x:v>165</x:v>
      </x:c>
      <x:c r="L18" s="14" t="n">
        <x:f>ROUND(K18*(IF(H18&lt;=10,0.9*H18+0.05*H18*(H18+1),14.5+1.9*(H18-10)))-0.4*IF(H18&lt;=10,0.45*H18*(H18-1)+H18*(H18^2-1)/30,0.95*H18*(H18-1)-12),2)</x:f>
        <x:v>3885</x:v>
      </x:c>
      <x:c r="M18" s="14" t="n">
        <x:f>FLOOR(L18*0.55,0.1)</x:f>
        <x:v>2136.7000000000003</x:v>
      </x:c>
      <x:c r="N18" s="14" t="n">
        <x:f>FLOOR(L18*0.75,0.1)</x:f>
        <x:v>2913.7000000000003</x:v>
      </x:c>
      <x:c r="O18" s="15" t="n"/>
    </x:row>
    <x:row r="19">
      <x:c r="B19" s="11" t="n">
        <x:v>15</x:v>
      </x:c>
      <x:c r="C19" s="11" t="n">
        <x:v>2</x:v>
      </x:c>
      <x:c r="D19" s="11" t="inlineStr">
        <x:is>
          <x:t xml:space="preserve">kitchen</x:t>
        </x:is>
      </x:c>
      <x:c r="E19" s="11" t="inlineStr">
        <x:is>
          <x:t xml:space="preserve">standard</x:t>
        </x:is>
      </x:c>
      <x:c r="F19" s="11" t="n">
        <x:v>5</x:v>
      </x:c>
      <x:c r="G19" s="11" t="n">
        <x:v>3</x:v>
      </x:c>
      <x:c r="H19" s="12" t="n">
        <x:f>F19*G19</x:f>
        <x:v>15</x:v>
      </x:c>
      <x:c r="I19" s="11" t="n">
        <x:v>60</x:v>
      </x:c>
      <x:c r="J19" s="11" t="n">
        <x:v>1</x:v>
      </x:c>
      <x:c r="K19" s="12" t="n">
        <x:f>ROUND((45+H19*8)*J19,0)</x:f>
        <x:v>165</x:v>
      </x:c>
      <x:c r="L19" s="12" t="n">
        <x:f>ROUND(K19*(IF(H19&lt;=10,0.9*H19+0.05*H19*(H19+1),14.5+1.9*(H19-10)))-0.4*IF(H19&lt;=10,0.45*H19*(H19-1)+H19*(H19^2-1)/30,0.95*H19*(H19-1)-12),2)</x:f>
        <x:v>3885</x:v>
      </x:c>
      <x:c r="M19" s="12" t="n">
        <x:f>FLOOR(L19*0.55,0.1)</x:f>
        <x:v>2136.7000000000003</x:v>
      </x:c>
      <x:c r="N19" s="12" t="n">
        <x:f>FLOOR(L19*0.75,0.1)</x:f>
        <x:v>2913.7000000000003</x:v>
      </x:c>
    </x:row>
    <x:row r="20">
      <x:c r="B20" s="13" t="n">
        <x:v>16</x:v>
      </x:c>
      <x:c r="C20" s="13" t="n">
        <x:v>2</x:v>
      </x:c>
      <x:c r="D20" s="13" t="inlineStr">
        <x:is>
          <x:t xml:space="preserve">toys</x:t>
        </x:is>
      </x:c>
      <x:c r="E20" s="13" t="inlineStr">
        <x:is>
          <x:t xml:space="preserve">standard</x:t>
        </x:is>
      </x:c>
      <x:c r="F20" s="13" t="n">
        <x:v>6</x:v>
      </x:c>
      <x:c r="G20" s="13" t="n">
        <x:v>3</x:v>
      </x:c>
      <x:c r="H20" s="14" t="n">
        <x:f>F20*G20</x:f>
        <x:v>18</x:v>
      </x:c>
      <x:c r="I20" s="13" t="n">
        <x:v>61</x:v>
      </x:c>
      <x:c r="J20" s="13" t="n">
        <x:v>1</x:v>
      </x:c>
      <x:c r="K20" s="14" t="n">
        <x:f>ROUND((45+H20*8)*J20,0)</x:f>
        <x:v>189</x:v>
      </x:c>
      <x:c r="L20" s="14" t="n">
        <x:f>ROUND(K20*(IF(H20&lt;=10,0.9*H20+0.05*H20*(H20+1),14.5+1.9*(H20-10)))-0.4*IF(H20&lt;=10,0.45*H20*(H20-1)+H20*(H20^2-1)/30,0.95*H20*(H20-1)-12),2)</x:f>
        <x:v>5501.82</x:v>
      </x:c>
      <x:c r="M20" s="14" t="n">
        <x:f>FLOOR(L20*0.55,0.1)</x:f>
        <x:v>3026</x:v>
      </x:c>
      <x:c r="N20" s="14" t="n">
        <x:f>FLOOR(L20*0.75,0.1)</x:f>
        <x:v>4126.3</x:v>
      </x:c>
      <x:c r="O20" s="15" t="n"/>
    </x:row>
    <x:row r="21">
      <x:c r="B21" s="11" t="n">
        <x:v>17</x:v>
      </x:c>
      <x:c r="C21" s="11" t="n">
        <x:v>2</x:v>
      </x:c>
      <x:c r="D21" s="11" t="inlineStr">
        <x:is>
          <x:t xml:space="preserve">kitchen</x:t>
        </x:is>
      </x:c>
      <x:c r="E21" s="11" t="inlineStr">
        <x:is>
          <x:t xml:space="preserve">standard</x:t>
        </x:is>
      </x:c>
      <x:c r="F21" s="11" t="n">
        <x:v>6</x:v>
      </x:c>
      <x:c r="G21" s="11" t="n">
        <x:v>3</x:v>
      </x:c>
      <x:c r="H21" s="12" t="n">
        <x:f>F21*G21</x:f>
        <x:v>18</x:v>
      </x:c>
      <x:c r="I21" s="11" t="n">
        <x:v>62</x:v>
      </x:c>
      <x:c r="J21" s="11" t="n">
        <x:v>1</x:v>
      </x:c>
      <x:c r="K21" s="12" t="n">
        <x:f>ROUND((45+H21*8)*J21,0)</x:f>
        <x:v>189</x:v>
      </x:c>
      <x:c r="L21" s="12" t="n">
        <x:f>ROUND(K21*(IF(H21&lt;=10,0.9*H21+0.05*H21*(H21+1),14.5+1.9*(H21-10)))-0.4*IF(H21&lt;=10,0.45*H21*(H21-1)+H21*(H21^2-1)/30,0.95*H21*(H21-1)-12),2)</x:f>
        <x:v>5501.82</x:v>
      </x:c>
      <x:c r="M21" s="12" t="n">
        <x:f>FLOOR(L21*0.55,0.1)</x:f>
        <x:v>3026</x:v>
      </x:c>
      <x:c r="N21" s="12" t="n">
        <x:f>FLOOR(L21*0.75,0.1)</x:f>
        <x:v>4126.3</x:v>
      </x:c>
    </x:row>
    <x:row r="22">
      <x:c r="B22" s="13" t="n">
        <x:v>18</x:v>
      </x:c>
      <x:c r="C22" s="13" t="n">
        <x:v>2</x:v>
      </x:c>
      <x:c r="D22" s="13" t="inlineStr">
        <x:is>
          <x:t xml:space="preserve">toys</x:t>
        </x:is>
      </x:c>
      <x:c r="E22" s="13" t="inlineStr">
        <x:is>
          <x:t xml:space="preserve">standard</x:t>
        </x:is>
      </x:c>
      <x:c r="F22" s="13" t="n">
        <x:v>6</x:v>
      </x:c>
      <x:c r="G22" s="13" t="n">
        <x:v>3</x:v>
      </x:c>
      <x:c r="H22" s="14" t="n">
        <x:f>F22*G22</x:f>
        <x:v>18</x:v>
      </x:c>
      <x:c r="I22" s="13" t="n">
        <x:v>63</x:v>
      </x:c>
      <x:c r="J22" s="13" t="n">
        <x:v>1</x:v>
      </x:c>
      <x:c r="K22" s="14" t="n">
        <x:f>ROUND((45+H22*8)*J22,0)</x:f>
        <x:v>189</x:v>
      </x:c>
      <x:c r="L22" s="14" t="n">
        <x:f>ROUND(K22*(IF(H22&lt;=10,0.9*H22+0.05*H22*(H22+1),14.5+1.9*(H22-10)))-0.4*IF(H22&lt;=10,0.45*H22*(H22-1)+H22*(H22^2-1)/30,0.95*H22*(H22-1)-12),2)</x:f>
        <x:v>5501.82</x:v>
      </x:c>
      <x:c r="M22" s="14" t="n">
        <x:f>FLOOR(L22*0.55,0.1)</x:f>
        <x:v>3026</x:v>
      </x:c>
      <x:c r="N22" s="14" t="n">
        <x:f>FLOOR(L22*0.75,0.1)</x:f>
        <x:v>4126.3</x:v>
      </x:c>
      <x:c r="O22" s="15" t="n"/>
    </x:row>
    <x:row r="23">
      <x:c r="B23" s="11" t="n">
        <x:v>19</x:v>
      </x:c>
      <x:c r="C23" s="11" t="n">
        <x:v>2</x:v>
      </x:c>
      <x:c r="D23" s="11" t="inlineStr">
        <x:is>
          <x:t xml:space="preserve">kitchen</x:t>
        </x:is>
      </x:c>
      <x:c r="E23" s="11" t="inlineStr">
        <x:is>
          <x:t xml:space="preserve">standard</x:t>
        </x:is>
      </x:c>
      <x:c r="F23" s="11" t="n">
        <x:v>6</x:v>
      </x:c>
      <x:c r="G23" s="11" t="n">
        <x:v>3</x:v>
      </x:c>
      <x:c r="H23" s="12" t="n">
        <x:f>F23*G23</x:f>
        <x:v>18</x:v>
      </x:c>
      <x:c r="I23" s="11" t="n">
        <x:v>64</x:v>
      </x:c>
      <x:c r="J23" s="11" t="n">
        <x:v>1</x:v>
      </x:c>
      <x:c r="K23" s="12" t="n">
        <x:f>ROUND((45+H23*8)*J23,0)</x:f>
        <x:v>189</x:v>
      </x:c>
      <x:c r="L23" s="12" t="n">
        <x:f>ROUND(K23*(IF(H23&lt;=10,0.9*H23+0.05*H23*(H23+1),14.5+1.9*(H23-10)))-0.4*IF(H23&lt;=10,0.45*H23*(H23-1)+H23*(H23^2-1)/30,0.95*H23*(H23-1)-12),2)</x:f>
        <x:v>5501.82</x:v>
      </x:c>
      <x:c r="M23" s="12" t="n">
        <x:f>FLOOR(L23*0.55,0.1)</x:f>
        <x:v>3026</x:v>
      </x:c>
      <x:c r="N23" s="12" t="n">
        <x:f>FLOOR(L23*0.75,0.1)</x:f>
        <x:v>4126.3</x:v>
      </x:c>
    </x:row>
    <x:row r="24">
      <x:c r="B24" s="16" t="n">
        <x:v>20</x:v>
      </x:c>
      <x:c r="C24" s="16" t="n">
        <x:v>2</x:v>
      </x:c>
      <x:c r="D24" s="16" t="inlineStr">
        <x:is>
          <x:t xml:space="preserve">toys</x:t>
        </x:is>
      </x:c>
      <x:c r="E24" s="16" t="inlineStr">
        <x:is>
          <x:t xml:space="preserve">boss</x:t>
        </x:is>
      </x:c>
      <x:c r="F24" s="16" t="n">
        <x:v>12</x:v>
      </x:c>
      <x:c r="G24" s="16" t="n">
        <x:v>3</x:v>
      </x:c>
      <x:c r="H24" s="17" t="n">
        <x:f>F24*G24</x:f>
        <x:v>36</x:v>
      </x:c>
      <x:c r="I24" s="16" t="n">
        <x:v>75</x:v>
      </x:c>
      <x:c r="J24" s="16" t="n">
        <x:v>0.9</x:v>
      </x:c>
      <x:c r="K24" s="17" t="n">
        <x:f>ROUND((45+H24*8)*J24,0)</x:f>
        <x:v>300</x:v>
      </x:c>
      <x:c r="L24" s="17" t="n">
        <x:f>ROUND(K24*(IF(H24&lt;=10,0.9*H24+0.05*H24*(H24+1),14.5+1.9*(H24-10)))-0.4*IF(H24&lt;=10,0.45*H24*(H24-1)+H24*(H24^2-1)/30,0.95*H24*(H24-1)-12),2)</x:f>
        <x:v>18696</x:v>
      </x:c>
      <x:c r="M24" s="17" t="n">
        <x:f>FLOOR(L24*0.55,0.1)</x:f>
        <x:v>10282.800000000001</x:v>
      </x:c>
      <x:c r="N24" s="17" t="n">
        <x:f>FLOOR(L24*0.75,0.1)</x:f>
        <x:v>14022</x:v>
      </x:c>
      <x:c r="O24" s="18" t="n"/>
    </x:row>
    <x:row r="25">
      <x:c r="B25" s="11" t="n">
        <x:v>21</x:v>
      </x:c>
      <x:c r="C25" s="11" t="n">
        <x:v>3</x:v>
      </x:c>
      <x:c r="D25" s="11" t="inlineStr">
        <x:is>
          <x:t xml:space="preserve">kitchen</x:t>
        </x:is>
      </x:c>
      <x:c r="E25" s="11" t="inlineStr">
        <x:is>
          <x:t xml:space="preserve">standard</x:t>
        </x:is>
      </x:c>
      <x:c r="F25" s="11" t="n">
        <x:v>6</x:v>
      </x:c>
      <x:c r="G25" s="11" t="n">
        <x:v>3</x:v>
      </x:c>
      <x:c r="H25" s="12" t="n">
        <x:f>F25*G25</x:f>
        <x:v>18</x:v>
      </x:c>
      <x:c r="I25" s="11" t="n">
        <x:v>66</x:v>
      </x:c>
      <x:c r="J25" s="11" t="n">
        <x:v>1</x:v>
      </x:c>
      <x:c r="K25" s="12" t="n">
        <x:f>ROUND((45+H25*8)*J25,0)</x:f>
        <x:v>189</x:v>
      </x:c>
      <x:c r="L25" s="12" t="n">
        <x:f>ROUND(K25*(IF(H25&lt;=10,0.9*H25+0.05*H25*(H25+1),14.5+1.9*(H25-10)))-0.4*IF(H25&lt;=10,0.45*H25*(H25-1)+H25*(H25^2-1)/30,0.95*H25*(H25-1)-12),2)</x:f>
        <x:v>5501.82</x:v>
      </x:c>
      <x:c r="M25" s="12" t="n">
        <x:f>FLOOR(L25*0.55,0.1)</x:f>
        <x:v>3026</x:v>
      </x:c>
      <x:c r="N25" s="12" t="n">
        <x:f>FLOOR(L25*0.75,0.1)</x:f>
        <x:v>4126.3</x:v>
      </x:c>
      <x:c r="O25" s="11" t="n">
        <x:v>15</x:v>
      </x:c>
    </x:row>
    <x:row r="26">
      <x:c r="B26" s="13" t="n">
        <x:v>22</x:v>
      </x:c>
      <x:c r="C26" s="13" t="n">
        <x:v>3</x:v>
      </x:c>
      <x:c r="D26" s="13" t="inlineStr">
        <x:is>
          <x:t xml:space="preserve">toys</x:t>
        </x:is>
      </x:c>
      <x:c r="E26" s="13" t="inlineStr">
        <x:is>
          <x:t xml:space="preserve">standard</x:t>
        </x:is>
      </x:c>
      <x:c r="F26" s="13" t="n">
        <x:v>6</x:v>
      </x:c>
      <x:c r="G26" s="13" t="n">
        <x:v>3</x:v>
      </x:c>
      <x:c r="H26" s="14" t="n">
        <x:f>F26*G26</x:f>
        <x:v>18</x:v>
      </x:c>
      <x:c r="I26" s="13" t="n">
        <x:v>67</x:v>
      </x:c>
      <x:c r="J26" s="13" t="n">
        <x:v>1</x:v>
      </x:c>
      <x:c r="K26" s="14" t="n">
        <x:f>ROUND((45+H26*8)*J26,0)</x:f>
        <x:v>189</x:v>
      </x:c>
      <x:c r="L26" s="14" t="n">
        <x:f>ROUND(K26*(IF(H26&lt;=10,0.9*H26+0.05*H26*(H26+1),14.5+1.9*(H26-10)))-0.4*IF(H26&lt;=10,0.45*H26*(H26-1)+H26*(H26^2-1)/30,0.95*H26*(H26-1)-12),2)</x:f>
        <x:v>5501.82</x:v>
      </x:c>
      <x:c r="M26" s="14" t="n">
        <x:f>FLOOR(L26*0.55,0.1)</x:f>
        <x:v>3026</x:v>
      </x:c>
      <x:c r="N26" s="14" t="n">
        <x:f>FLOOR(L26*0.75,0.1)</x:f>
        <x:v>4126.3</x:v>
      </x:c>
      <x:c r="O26" s="15" t="n"/>
    </x:row>
    <x:row r="27">
      <x:c r="B27" s="11" t="n">
        <x:v>23</x:v>
      </x:c>
      <x:c r="C27" s="11" t="n">
        <x:v>3</x:v>
      </x:c>
      <x:c r="D27" s="11" t="inlineStr">
        <x:is>
          <x:t xml:space="preserve">nature</x:t>
        </x:is>
      </x:c>
      <x:c r="E27" s="11" t="inlineStr">
        <x:is>
          <x:t xml:space="preserve">standard</x:t>
        </x:is>
      </x:c>
      <x:c r="F27" s="11" t="n">
        <x:v>6</x:v>
      </x:c>
      <x:c r="G27" s="11" t="n">
        <x:v>3</x:v>
      </x:c>
      <x:c r="H27" s="12" t="n">
        <x:f>F27*G27</x:f>
        <x:v>18</x:v>
      </x:c>
      <x:c r="I27" s="11" t="n">
        <x:v>68</x:v>
      </x:c>
      <x:c r="J27" s="11" t="n">
        <x:v>1</x:v>
      </x:c>
      <x:c r="K27" s="12" t="n">
        <x:f>ROUND((45+H27*8)*J27,0)</x:f>
        <x:v>189</x:v>
      </x:c>
      <x:c r="L27" s="12" t="n">
        <x:f>ROUND(K27*(IF(H27&lt;=10,0.9*H27+0.05*H27*(H27+1),14.5+1.9*(H27-10)))-0.4*IF(H27&lt;=10,0.45*H27*(H27-1)+H27*(H27^2-1)/30,0.95*H27*(H27-1)-12),2)</x:f>
        <x:v>5501.82</x:v>
      </x:c>
      <x:c r="M27" s="12" t="n">
        <x:f>FLOOR(L27*0.55,0.1)</x:f>
        <x:v>3026</x:v>
      </x:c>
      <x:c r="N27" s="12" t="n">
        <x:f>FLOOR(L27*0.75,0.1)</x:f>
        <x:v>4126.3</x:v>
      </x:c>
    </x:row>
    <x:row r="28">
      <x:c r="B28" s="13" t="n">
        <x:v>24</x:v>
      </x:c>
      <x:c r="C28" s="13" t="n">
        <x:v>3</x:v>
      </x:c>
      <x:c r="D28" s="13" t="inlineStr">
        <x:is>
          <x:t xml:space="preserve">travel</x:t>
        </x:is>
      </x:c>
      <x:c r="E28" s="13" t="inlineStr">
        <x:is>
          <x:t xml:space="preserve">cluster</x:t>
        </x:is>
      </x:c>
      <x:c r="F28" s="13" t="n">
        <x:v>1</x:v>
      </x:c>
      <x:c r="G28" s="13" t="n">
        <x:v>6</x:v>
      </x:c>
      <x:c r="H28" s="14" t="n">
        <x:f>F28*G28</x:f>
        <x:v>6</x:v>
      </x:c>
      <x:c r="I28" s="13" t="n">
        <x:v>69</x:v>
      </x:c>
      <x:c r="J28" s="13" t="n">
        <x:v>1.1</x:v>
      </x:c>
      <x:c r="K28" s="14" t="n">
        <x:f>ROUND((45+H28*8)*J28,0)</x:f>
        <x:v>102</x:v>
      </x:c>
      <x:c r="L28" s="14" t="n">
        <x:f>ROUND(K28*(IF(H28&lt;=10,0.9*H28+0.05*H28*(H28+1),14.5+1.9*(H28-10)))-0.4*IF(H28&lt;=10,0.45*H28*(H28-1)+H28*(H28^2-1)/30,0.95*H28*(H28-1)-12),2)</x:f>
        <x:v>756.8</x:v>
      </x:c>
      <x:c r="M28" s="14" t="n">
        <x:f>FLOOR(L28*0.55,0.1)</x:f>
        <x:v>416.20000000000005</x:v>
      </x:c>
      <x:c r="N28" s="14" t="n">
        <x:f>FLOOR(L28*0.75,0.1)</x:f>
        <x:v>567.5</x:v>
      </x:c>
      <x:c r="O28" s="15" t="n"/>
    </x:row>
    <x:row r="29">
      <x:c r="B29" s="11" t="n">
        <x:v>25</x:v>
      </x:c>
      <x:c r="C29" s="11" t="n">
        <x:v>3</x:v>
      </x:c>
      <x:c r="D29" s="11" t="inlineStr">
        <x:is>
          <x:t xml:space="preserve">kitchen</x:t>
        </x:is>
      </x:c>
      <x:c r="E29" s="11" t="inlineStr">
        <x:is>
          <x:t xml:space="preserve">standard</x:t>
        </x:is>
      </x:c>
      <x:c r="F29" s="11" t="n">
        <x:v>6</x:v>
      </x:c>
      <x:c r="G29" s="11" t="n">
        <x:v>3</x:v>
      </x:c>
      <x:c r="H29" s="12" t="n">
        <x:f>F29*G29</x:f>
        <x:v>18</x:v>
      </x:c>
      <x:c r="I29" s="11" t="n">
        <x:v>69</x:v>
      </x:c>
      <x:c r="J29" s="11" t="n">
        <x:v>1</x:v>
      </x:c>
      <x:c r="K29" s="12" t="n">
        <x:f>ROUND((45+H29*8)*J29,0)</x:f>
        <x:v>189</x:v>
      </x:c>
      <x:c r="L29" s="12" t="n">
        <x:f>ROUND(K29*(IF(H29&lt;=10,0.9*H29+0.05*H29*(H29+1),14.5+1.9*(H29-10)))-0.4*IF(H29&lt;=10,0.45*H29*(H29-1)+H29*(H29^2-1)/30,0.95*H29*(H29-1)-12),2)</x:f>
        <x:v>5501.82</x:v>
      </x:c>
      <x:c r="M29" s="12" t="n">
        <x:f>FLOOR(L29*0.55,0.1)</x:f>
        <x:v>3026</x:v>
      </x:c>
      <x:c r="N29" s="12" t="n">
        <x:f>FLOOR(L29*0.75,0.1)</x:f>
        <x:v>4126.3</x:v>
      </x:c>
    </x:row>
    <x:row r="30">
      <x:c r="B30" s="13" t="n">
        <x:v>26</x:v>
      </x:c>
      <x:c r="C30" s="13" t="n">
        <x:v>3</x:v>
      </x:c>
      <x:c r="D30" s="13" t="inlineStr">
        <x:is>
          <x:t xml:space="preserve">toys</x:t>
        </x:is>
      </x:c>
      <x:c r="E30" s="13" t="inlineStr">
        <x:is>
          <x:t xml:space="preserve">standard</x:t>
        </x:is>
      </x:c>
      <x:c r="F30" s="13" t="n">
        <x:v>6</x:v>
      </x:c>
      <x:c r="G30" s="13" t="n">
        <x:v>3</x:v>
      </x:c>
      <x:c r="H30" s="14" t="n">
        <x:f>F30*G30</x:f>
        <x:v>18</x:v>
      </x:c>
      <x:c r="I30" s="13" t="n">
        <x:v>70</x:v>
      </x:c>
      <x:c r="J30" s="13" t="n">
        <x:v>1</x:v>
      </x:c>
      <x:c r="K30" s="14" t="n">
        <x:f>ROUND((45+H30*8)*J30,0)</x:f>
        <x:v>189</x:v>
      </x:c>
      <x:c r="L30" s="14" t="n">
        <x:f>ROUND(K30*(IF(H30&lt;=10,0.9*H30+0.05*H30*(H30+1),14.5+1.9*(H30-10)))-0.4*IF(H30&lt;=10,0.45*H30*(H30-1)+H30*(H30^2-1)/30,0.95*H30*(H30-1)-12),2)</x:f>
        <x:v>5501.82</x:v>
      </x:c>
      <x:c r="M30" s="14" t="n">
        <x:f>FLOOR(L30*0.55,0.1)</x:f>
        <x:v>3026</x:v>
      </x:c>
      <x:c r="N30" s="14" t="n">
        <x:f>FLOOR(L30*0.75,0.1)</x:f>
        <x:v>4126.3</x:v>
      </x:c>
      <x:c r="O30" s="15" t="n"/>
    </x:row>
    <x:row r="31">
      <x:c r="B31" s="11" t="n">
        <x:v>27</x:v>
      </x:c>
      <x:c r="C31" s="11" t="n">
        <x:v>3</x:v>
      </x:c>
      <x:c r="D31" s="11" t="inlineStr">
        <x:is>
          <x:t xml:space="preserve">nature</x:t>
        </x:is>
      </x:c>
      <x:c r="E31" s="11" t="inlineStr">
        <x:is>
          <x:t xml:space="preserve">mist</x:t>
        </x:is>
      </x:c>
      <x:c r="F31" s="11" t="n">
        <x:v>6</x:v>
      </x:c>
      <x:c r="G31" s="11" t="n">
        <x:v>3</x:v>
      </x:c>
      <x:c r="H31" s="12" t="n">
        <x:f>F31*G31</x:f>
        <x:v>18</x:v>
      </x:c>
      <x:c r="I31" s="11" t="n">
        <x:v>71</x:v>
      </x:c>
      <x:c r="J31" s="11" t="n">
        <x:v>1.15</x:v>
      </x:c>
      <x:c r="K31" s="12" t="n">
        <x:f>ROUND((45+H31*8)*J31,0)</x:f>
        <x:v>217</x:v>
      </x:c>
      <x:c r="L31" s="12" t="n">
        <x:f>ROUND(K31*(IF(H31&lt;=10,0.9*H31+0.05*H31*(H31+1),14.5+1.9*(H31-10)))-0.4*IF(H31&lt;=10,0.45*H31*(H31-1)+H31*(H31^2-1)/30,0.95*H31*(H31-1)-12),2)</x:f>
        <x:v>6333.42</x:v>
      </x:c>
      <x:c r="M31" s="12" t="n">
        <x:f>FLOOR(L31*0.55,0.1)</x:f>
        <x:v>3483.3</x:v>
      </x:c>
      <x:c r="N31" s="12" t="n">
        <x:f>FLOOR(L31*0.75,0.1)</x:f>
        <x:v>4750</x:v>
      </x:c>
    </x:row>
    <x:row r="32">
      <x:c r="B32" s="13" t="n">
        <x:v>28</x:v>
      </x:c>
      <x:c r="C32" s="13" t="n">
        <x:v>3</x:v>
      </x:c>
      <x:c r="D32" s="13" t="inlineStr">
        <x:is>
          <x:t xml:space="preserve">travel</x:t>
        </x:is>
      </x:c>
      <x:c r="E32" s="13" t="inlineStr">
        <x:is>
          <x:t xml:space="preserve">standard</x:t>
        </x:is>
      </x:c>
      <x:c r="F32" s="13" t="n">
        <x:v>6</x:v>
      </x:c>
      <x:c r="G32" s="13" t="n">
        <x:v>3</x:v>
      </x:c>
      <x:c r="H32" s="14" t="n">
        <x:f>F32*G32</x:f>
        <x:v>18</x:v>
      </x:c>
      <x:c r="I32" s="13" t="n">
        <x:v>72</x:v>
      </x:c>
      <x:c r="J32" s="13" t="n">
        <x:v>1</x:v>
      </x:c>
      <x:c r="K32" s="14" t="n">
        <x:f>ROUND((45+H32*8)*J32,0)</x:f>
        <x:v>189</x:v>
      </x:c>
      <x:c r="L32" s="14" t="n">
        <x:f>ROUND(K32*(IF(H32&lt;=10,0.9*H32+0.05*H32*(H32+1),14.5+1.9*(H32-10)))-0.4*IF(H32&lt;=10,0.45*H32*(H32-1)+H32*(H32^2-1)/30,0.95*H32*(H32-1)-12),2)</x:f>
        <x:v>5501.82</x:v>
      </x:c>
      <x:c r="M32" s="14" t="n">
        <x:f>FLOOR(L32*0.55,0.1)</x:f>
        <x:v>3026</x:v>
      </x:c>
      <x:c r="N32" s="14" t="n">
        <x:f>FLOOR(L32*0.75,0.1)</x:f>
        <x:v>4126.3</x:v>
      </x:c>
      <x:c r="O32" s="15" t="n"/>
    </x:row>
    <x:row r="33">
      <x:c r="B33" s="11" t="n">
        <x:v>29</x:v>
      </x:c>
      <x:c r="C33" s="11" t="n">
        <x:v>3</x:v>
      </x:c>
      <x:c r="D33" s="11" t="inlineStr">
        <x:is>
          <x:t xml:space="preserve">kitchen</x:t>
        </x:is>
      </x:c>
      <x:c r="E33" s="11" t="inlineStr">
        <x:is>
          <x:t xml:space="preserve">standard</x:t>
        </x:is>
      </x:c>
      <x:c r="F33" s="11" t="n">
        <x:v>6</x:v>
      </x:c>
      <x:c r="G33" s="11" t="n">
        <x:v>3</x:v>
      </x:c>
      <x:c r="H33" s="12" t="n">
        <x:f>F33*G33</x:f>
        <x:v>18</x:v>
      </x:c>
      <x:c r="I33" s="11" t="n">
        <x:v>73</x:v>
      </x:c>
      <x:c r="J33" s="11" t="n">
        <x:v>1</x:v>
      </x:c>
      <x:c r="K33" s="12" t="n">
        <x:f>ROUND((45+H33*8)*J33,0)</x:f>
        <x:v>189</x:v>
      </x:c>
      <x:c r="L33" s="12" t="n">
        <x:f>ROUND(K33*(IF(H33&lt;=10,0.9*H33+0.05*H33*(H33+1),14.5+1.9*(H33-10)))-0.4*IF(H33&lt;=10,0.45*H33*(H33-1)+H33*(H33^2-1)/30,0.95*H33*(H33-1)-12),2)</x:f>
        <x:v>5501.82</x:v>
      </x:c>
      <x:c r="M33" s="12" t="n">
        <x:f>FLOOR(L33*0.55,0.1)</x:f>
        <x:v>3026</x:v>
      </x:c>
      <x:c r="N33" s="12" t="n">
        <x:f>FLOOR(L33*0.75,0.1)</x:f>
        <x:v>4126.3</x:v>
      </x:c>
    </x:row>
    <x:row r="34">
      <x:c r="B34" s="16" t="n">
        <x:v>30</x:v>
      </x:c>
      <x:c r="C34" s="16" t="n">
        <x:v>3</x:v>
      </x:c>
      <x:c r="D34" s="16" t="inlineStr">
        <x:is>
          <x:t xml:space="preserve">toys</x:t>
        </x:is>
      </x:c>
      <x:c r="E34" s="16" t="inlineStr">
        <x:is>
          <x:t xml:space="preserve">boss</x:t>
        </x:is>
      </x:c>
      <x:c r="F34" s="16" t="n">
        <x:v>12</x:v>
      </x:c>
      <x:c r="G34" s="16" t="n">
        <x:v>3</x:v>
      </x:c>
      <x:c r="H34" s="17" t="n">
        <x:f>F34*G34</x:f>
        <x:v>36</x:v>
      </x:c>
      <x:c r="I34" s="16" t="n">
        <x:v>84</x:v>
      </x:c>
      <x:c r="J34" s="16" t="n">
        <x:v>0.9</x:v>
      </x:c>
      <x:c r="K34" s="17" t="n">
        <x:f>ROUND((45+H34*8)*J34,0)</x:f>
        <x:v>300</x:v>
      </x:c>
      <x:c r="L34" s="17" t="n">
        <x:f>ROUND(K34*(IF(H34&lt;=10,0.9*H34+0.05*H34*(H34+1),14.5+1.9*(H34-10)))-0.4*IF(H34&lt;=10,0.45*H34*(H34-1)+H34*(H34^2-1)/30,0.95*H34*(H34-1)-12),2)</x:f>
        <x:v>18696</x:v>
      </x:c>
      <x:c r="M34" s="17" t="n">
        <x:f>FLOOR(L34*0.55,0.1)</x:f>
        <x:v>10282.800000000001</x:v>
      </x:c>
      <x:c r="N34" s="17" t="n">
        <x:f>FLOOR(L34*0.75,0.1)</x:f>
        <x:v>14022</x:v>
      </x:c>
      <x:c r="O34" s="18" t="n"/>
    </x:row>
    <x:row r="35">
      <x:c r="B35" s="11" t="n">
        <x:v>31</x:v>
      </x:c>
      <x:c r="C35" s="11" t="n">
        <x:v>4</x:v>
      </x:c>
      <x:c r="D35" s="11" t="inlineStr">
        <x:is>
          <x:t xml:space="preserve">nature</x:t>
        </x:is>
      </x:c>
      <x:c r="E35" s="11" t="inlineStr">
        <x:is>
          <x:t xml:space="preserve">standard</x:t>
        </x:is>
      </x:c>
      <x:c r="F35" s="11" t="n">
        <x:v>6</x:v>
      </x:c>
      <x:c r="G35" s="11" t="n">
        <x:v>3</x:v>
      </x:c>
      <x:c r="H35" s="12" t="n">
        <x:f>F35*G35</x:f>
        <x:v>18</x:v>
      </x:c>
      <x:c r="I35" s="11" t="n">
        <x:v>74</x:v>
      </x:c>
      <x:c r="J35" s="11" t="n">
        <x:v>1</x:v>
      </x:c>
      <x:c r="K35" s="12" t="n">
        <x:f>ROUND((45+H35*8)*J35,0)</x:f>
        <x:v>189</x:v>
      </x:c>
      <x:c r="L35" s="12" t="n">
        <x:f>ROUND(K35*(IF(H35&lt;=10,0.9*H35+0.05*H35*(H35+1),14.5+1.9*(H35-10)))-0.4*IF(H35&lt;=10,0.45*H35*(H35-1)+H35*(H35^2-1)/30,0.95*H35*(H35-1)-12),2)</x:f>
        <x:v>5501.82</x:v>
      </x:c>
      <x:c r="M35" s="12" t="n">
        <x:f>FLOOR(L35*0.55,0.1)</x:f>
        <x:v>3026</x:v>
      </x:c>
      <x:c r="N35" s="12" t="n">
        <x:f>FLOOR(L35*0.75,0.1)</x:f>
        <x:v>4126.3</x:v>
      </x:c>
    </x:row>
    <x:row r="36">
      <x:c r="B36" s="13" t="n">
        <x:v>32</x:v>
      </x:c>
      <x:c r="C36" s="13" t="n">
        <x:v>4</x:v>
      </x:c>
      <x:c r="D36" s="13" t="inlineStr">
        <x:is>
          <x:t xml:space="preserve">travel</x:t>
        </x:is>
      </x:c>
      <x:c r="E36" s="13" t="inlineStr">
        <x:is>
          <x:t xml:space="preserve">standard</x:t>
        </x:is>
      </x:c>
      <x:c r="F36" s="13" t="n">
        <x:v>6</x:v>
      </x:c>
      <x:c r="G36" s="13" t="n">
        <x:v>3</x:v>
      </x:c>
      <x:c r="H36" s="14" t="n">
        <x:f>F36*G36</x:f>
        <x:v>18</x:v>
      </x:c>
      <x:c r="I36" s="13" t="n">
        <x:v>75</x:v>
      </x:c>
      <x:c r="J36" s="13" t="n">
        <x:v>1</x:v>
      </x:c>
      <x:c r="K36" s="14" t="n">
        <x:f>ROUND((45+H36*8)*J36,0)</x:f>
        <x:v>189</x:v>
      </x:c>
      <x:c r="L36" s="14" t="n">
        <x:f>ROUND(K36*(IF(H36&lt;=10,0.9*H36+0.05*H36*(H36+1),14.5+1.9*(H36-10)))-0.4*IF(H36&lt;=10,0.45*H36*(H36-1)+H36*(H36^2-1)/30,0.95*H36*(H36-1)-12),2)</x:f>
        <x:v>5501.82</x:v>
      </x:c>
      <x:c r="M36" s="14" t="n">
        <x:f>FLOOR(L36*0.55,0.1)</x:f>
        <x:v>3026</x:v>
      </x:c>
      <x:c r="N36" s="14" t="n">
        <x:f>FLOOR(L36*0.75,0.1)</x:f>
        <x:v>4126.3</x:v>
      </x:c>
      <x:c r="O36" s="15" t="n"/>
    </x:row>
    <x:row r="37">
      <x:c r="B37" s="11" t="n">
        <x:v>33</x:v>
      </x:c>
      <x:c r="C37" s="11" t="n">
        <x:v>4</x:v>
      </x:c>
      <x:c r="D37" s="11" t="inlineStr">
        <x:is>
          <x:t xml:space="preserve">kitchen</x:t>
        </x:is>
      </x:c>
      <x:c r="E37" s="11" t="inlineStr">
        <x:is>
          <x:t xml:space="preserve">standard</x:t>
        </x:is>
      </x:c>
      <x:c r="F37" s="11" t="n">
        <x:v>6</x:v>
      </x:c>
      <x:c r="G37" s="11" t="n">
        <x:v>3</x:v>
      </x:c>
      <x:c r="H37" s="12" t="n">
        <x:f>F37*G37</x:f>
        <x:v>18</x:v>
      </x:c>
      <x:c r="I37" s="11" t="n">
        <x:v>75</x:v>
      </x:c>
      <x:c r="J37" s="11" t="n">
        <x:v>1</x:v>
      </x:c>
      <x:c r="K37" s="12" t="n">
        <x:f>ROUND((45+H37*8)*J37,0)</x:f>
        <x:v>189</x:v>
      </x:c>
      <x:c r="L37" s="12" t="n">
        <x:f>ROUND(K37*(IF(H37&lt;=10,0.9*H37+0.05*H37*(H37+1),14.5+1.9*(H37-10)))-0.4*IF(H37&lt;=10,0.45*H37*(H37-1)+H37*(H37^2-1)/30,0.95*H37*(H37-1)-12),2)</x:f>
        <x:v>5501.82</x:v>
      </x:c>
      <x:c r="M37" s="12" t="n">
        <x:f>FLOOR(L37*0.55,0.1)</x:f>
        <x:v>3026</x:v>
      </x:c>
      <x:c r="N37" s="12" t="n">
        <x:f>FLOOR(L37*0.75,0.1)</x:f>
        <x:v>4126.3</x:v>
      </x:c>
    </x:row>
    <x:row r="38">
      <x:c r="B38" s="13" t="n">
        <x:v>34</x:v>
      </x:c>
      <x:c r="C38" s="13" t="n">
        <x:v>4</x:v>
      </x:c>
      <x:c r="D38" s="13" t="inlineStr">
        <x:is>
          <x:t xml:space="preserve">toys</x:t>
        </x:is>
      </x:c>
      <x:c r="E38" s="13" t="inlineStr">
        <x:is>
          <x:t xml:space="preserve">cluster</x:t>
        </x:is>
      </x:c>
      <x:c r="F38" s="13" t="n">
        <x:v>2</x:v>
      </x:c>
      <x:c r="G38" s="13" t="n">
        <x:v>7</x:v>
      </x:c>
      <x:c r="H38" s="14" t="n">
        <x:f>F38*G38</x:f>
        <x:v>14</x:v>
      </x:c>
      <x:c r="I38" s="13" t="n">
        <x:v>76</x:v>
      </x:c>
      <x:c r="J38" s="13" t="n">
        <x:v>1.1</x:v>
      </x:c>
      <x:c r="K38" s="14" t="n">
        <x:f>ROUND((45+H38*8)*J38,0)</x:f>
        <x:v>173</x:v>
      </x:c>
      <x:c r="L38" s="14" t="n">
        <x:f>ROUND(K38*(IF(H38&lt;=10,0.9*H38+0.05*H38*(H38+1),14.5+1.9*(H38-10)))-0.4*IF(H38&lt;=10,0.45*H38*(H38-1)+H38*(H38^2-1)/30,0.95*H38*(H38-1)-12),2)</x:f>
        <x:v>3758.94</x:v>
      </x:c>
      <x:c r="M38" s="14" t="n">
        <x:f>FLOOR(L38*0.55,0.1)</x:f>
        <x:v>2067.4</x:v>
      </x:c>
      <x:c r="N38" s="14" t="n">
        <x:f>FLOOR(L38*0.75,0.1)</x:f>
        <x:v>2819.2000000000003</x:v>
      </x:c>
      <x:c r="O38" s="15" t="n"/>
    </x:row>
    <x:row r="39">
      <x:c r="B39" s="11" t="n">
        <x:v>35</x:v>
      </x:c>
      <x:c r="C39" s="11" t="n">
        <x:v>4</x:v>
      </x:c>
      <x:c r="D39" s="11" t="inlineStr">
        <x:is>
          <x:t xml:space="preserve">nature</x:t>
        </x:is>
      </x:c>
      <x:c r="E39" s="11" t="inlineStr">
        <x:is>
          <x:t xml:space="preserve">speed</x:t>
        </x:is>
      </x:c>
      <x:c r="F39" s="11" t="n">
        <x:v>2</x:v>
      </x:c>
      <x:c r="G39" s="11" t="n">
        <x:v>1</x:v>
      </x:c>
      <x:c r="H39" s="12" t="n">
        <x:f>F39*G39</x:f>
        <x:v>2</x:v>
      </x:c>
      <x:c r="I39" s="11" t="n">
        <x:v>77</x:v>
      </x:c>
      <x:c r="J39" s="11" t="n">
        <x:v>0.5</x:v>
      </x:c>
      <x:c r="K39" s="12" t="n">
        <x:f>ROUND((45+H39*8)*J39,0)</x:f>
        <x:v>31</x:v>
      </x:c>
      <x:c r="L39" s="12" t="n">
        <x:f>ROUND(K39*(IF(H39&lt;=10,0.9*H39+0.05*H39*(H39+1),14.5+1.9*(H39-10)))-0.4*IF(H39&lt;=10,0.45*H39*(H39-1)+H39*(H39^2-1)/30,0.95*H39*(H39-1)-12),2)</x:f>
        <x:v>64.66</x:v>
      </x:c>
      <x:c r="M39" s="12" t="n">
        <x:f>FLOOR(L39*0.55,0.1)</x:f>
        <x:v>35.5</x:v>
      </x:c>
      <x:c r="N39" s="12" t="n">
        <x:f>FLOOR(L39*0.75,0.1)</x:f>
        <x:v>48.400000000000006</x:v>
      </x:c>
    </x:row>
    <x:row r="40">
      <x:c r="B40" s="13" t="n">
        <x:v>36</x:v>
      </x:c>
      <x:c r="C40" s="13" t="n">
        <x:v>4</x:v>
      </x:c>
      <x:c r="D40" s="13" t="inlineStr">
        <x:is>
          <x:t xml:space="preserve">travel</x:t>
        </x:is>
      </x:c>
      <x:c r="E40" s="13" t="inlineStr">
        <x:is>
          <x:t xml:space="preserve">standard</x:t>
        </x:is>
      </x:c>
      <x:c r="F40" s="13" t="n">
        <x:v>6</x:v>
      </x:c>
      <x:c r="G40" s="13" t="n">
        <x:v>3</x:v>
      </x:c>
      <x:c r="H40" s="14" t="n">
        <x:f>F40*G40</x:f>
        <x:v>18</x:v>
      </x:c>
      <x:c r="I40" s="13" t="n">
        <x:v>78</x:v>
      </x:c>
      <x:c r="J40" s="13" t="n">
        <x:v>1</x:v>
      </x:c>
      <x:c r="K40" s="14" t="n">
        <x:f>ROUND((45+H40*8)*J40,0)</x:f>
        <x:v>189</x:v>
      </x:c>
      <x:c r="L40" s="14" t="n">
        <x:f>ROUND(K40*(IF(H40&lt;=10,0.9*H40+0.05*H40*(H40+1),14.5+1.9*(H40-10)))-0.4*IF(H40&lt;=10,0.45*H40*(H40-1)+H40*(H40^2-1)/30,0.95*H40*(H40-1)-12),2)</x:f>
        <x:v>5501.82</x:v>
      </x:c>
      <x:c r="M40" s="14" t="n">
        <x:f>FLOOR(L40*0.55,0.1)</x:f>
        <x:v>3026</x:v>
      </x:c>
      <x:c r="N40" s="14" t="n">
        <x:f>FLOOR(L40*0.75,0.1)</x:f>
        <x:v>4126.3</x:v>
      </x:c>
      <x:c r="O40" s="15" t="n"/>
    </x:row>
    <x:row r="41">
      <x:c r="B41" s="11" t="n">
        <x:v>37</x:v>
      </x:c>
      <x:c r="C41" s="11" t="n">
        <x:v>4</x:v>
      </x:c>
      <x:c r="D41" s="11" t="inlineStr">
        <x:is>
          <x:t xml:space="preserve">kitchen</x:t>
        </x:is>
      </x:c>
      <x:c r="E41" s="11" t="inlineStr">
        <x:is>
          <x:t xml:space="preserve">mist</x:t>
        </x:is>
      </x:c>
      <x:c r="F41" s="11" t="n">
        <x:v>6</x:v>
      </x:c>
      <x:c r="G41" s="11" t="n">
        <x:v>3</x:v>
      </x:c>
      <x:c r="H41" s="12" t="n">
        <x:f>F41*G41</x:f>
        <x:v>18</x:v>
      </x:c>
      <x:c r="I41" s="11" t="n">
        <x:v>78</x:v>
      </x:c>
      <x:c r="J41" s="11" t="n">
        <x:v>1.15</x:v>
      </x:c>
      <x:c r="K41" s="12" t="n">
        <x:f>ROUND((45+H41*8)*J41,0)</x:f>
        <x:v>217</x:v>
      </x:c>
      <x:c r="L41" s="12" t="n">
        <x:f>ROUND(K41*(IF(H41&lt;=10,0.9*H41+0.05*H41*(H41+1),14.5+1.9*(H41-10)))-0.4*IF(H41&lt;=10,0.45*H41*(H41-1)+H41*(H41^2-1)/30,0.95*H41*(H41-1)-12),2)</x:f>
        <x:v>6333.42</x:v>
      </x:c>
      <x:c r="M41" s="12" t="n">
        <x:f>FLOOR(L41*0.55,0.1)</x:f>
        <x:v>3483.3</x:v>
      </x:c>
      <x:c r="N41" s="12" t="n">
        <x:f>FLOOR(L41*0.75,0.1)</x:f>
        <x:v>4750</x:v>
      </x:c>
    </x:row>
    <x:row r="42">
      <x:c r="B42" s="13" t="n">
        <x:v>38</x:v>
      </x:c>
      <x:c r="C42" s="13" t="n">
        <x:v>4</x:v>
      </x:c>
      <x:c r="D42" s="13" t="inlineStr">
        <x:is>
          <x:t xml:space="preserve">toys</x:t>
        </x:is>
      </x:c>
      <x:c r="E42" s="13" t="inlineStr">
        <x:is>
          <x:t xml:space="preserve">standard</x:t>
        </x:is>
      </x:c>
      <x:c r="F42" s="13" t="n">
        <x:v>6</x:v>
      </x:c>
      <x:c r="G42" s="13" t="n">
        <x:v>3</x:v>
      </x:c>
      <x:c r="H42" s="14" t="n">
        <x:f>F42*G42</x:f>
        <x:v>18</x:v>
      </x:c>
      <x:c r="I42" s="13" t="n">
        <x:v>79</x:v>
      </x:c>
      <x:c r="J42" s="13" t="n">
        <x:v>1</x:v>
      </x:c>
      <x:c r="K42" s="14" t="n">
        <x:f>ROUND((45+H42*8)*J42,0)</x:f>
        <x:v>189</x:v>
      </x:c>
      <x:c r="L42" s="14" t="n">
        <x:f>ROUND(K42*(IF(H42&lt;=10,0.9*H42+0.05*H42*(H42+1),14.5+1.9*(H42-10)))-0.4*IF(H42&lt;=10,0.45*H42*(H42-1)+H42*(H42^2-1)/30,0.95*H42*(H42-1)-12),2)</x:f>
        <x:v>5501.82</x:v>
      </x:c>
      <x:c r="M42" s="14" t="n">
        <x:f>FLOOR(L42*0.55,0.1)</x:f>
        <x:v>3026</x:v>
      </x:c>
      <x:c r="N42" s="14" t="n">
        <x:f>FLOOR(L42*0.75,0.1)</x:f>
        <x:v>4126.3</x:v>
      </x:c>
      <x:c r="O42" s="15" t="n"/>
    </x:row>
    <x:row r="43">
      <x:c r="B43" s="11" t="n">
        <x:v>39</x:v>
      </x:c>
      <x:c r="C43" s="11" t="n">
        <x:v>4</x:v>
      </x:c>
      <x:c r="D43" s="11" t="inlineStr">
        <x:is>
          <x:t xml:space="preserve">nature</x:t>
        </x:is>
      </x:c>
      <x:c r="E43" s="11" t="inlineStr">
        <x:is>
          <x:t xml:space="preserve">standard</x:t>
        </x:is>
      </x:c>
      <x:c r="F43" s="11" t="n">
        <x:v>6</x:v>
      </x:c>
      <x:c r="G43" s="11" t="n">
        <x:v>3</x:v>
      </x:c>
      <x:c r="H43" s="12" t="n">
        <x:f>F43*G43</x:f>
        <x:v>18</x:v>
      </x:c>
      <x:c r="I43" s="11" t="n">
        <x:v>80</x:v>
      </x:c>
      <x:c r="J43" s="11" t="n">
        <x:v>1</x:v>
      </x:c>
      <x:c r="K43" s="12" t="n">
        <x:f>ROUND((45+H43*8)*J43,0)</x:f>
        <x:v>189</x:v>
      </x:c>
      <x:c r="L43" s="12" t="n">
        <x:f>ROUND(K43*(IF(H43&lt;=10,0.9*H43+0.05*H43*(H43+1),14.5+1.9*(H43-10)))-0.4*IF(H43&lt;=10,0.45*H43*(H43-1)+H43*(H43^2-1)/30,0.95*H43*(H43-1)-12),2)</x:f>
        <x:v>5501.82</x:v>
      </x:c>
      <x:c r="M43" s="12" t="n">
        <x:f>FLOOR(L43*0.55,0.1)</x:f>
        <x:v>3026</x:v>
      </x:c>
      <x:c r="N43" s="12" t="n">
        <x:f>FLOOR(L43*0.75,0.1)</x:f>
        <x:v>4126.3</x:v>
      </x:c>
    </x:row>
    <x:row r="44">
      <x:c r="B44" s="16" t="n">
        <x:v>40</x:v>
      </x:c>
      <x:c r="C44" s="16" t="n">
        <x:v>4</x:v>
      </x:c>
      <x:c r="D44" s="16" t="inlineStr">
        <x:is>
          <x:t xml:space="preserve">travel</x:t>
        </x:is>
      </x:c>
      <x:c r="E44" s="16" t="inlineStr">
        <x:is>
          <x:t xml:space="preserve">boss</x:t>
        </x:is>
      </x:c>
      <x:c r="F44" s="16" t="n">
        <x:v>12</x:v>
      </x:c>
      <x:c r="G44" s="16" t="n">
        <x:v>3</x:v>
      </x:c>
      <x:c r="H44" s="17" t="n">
        <x:f>F44*G44</x:f>
        <x:v>36</x:v>
      </x:c>
      <x:c r="I44" s="16" t="n">
        <x:v>92</x:v>
      </x:c>
      <x:c r="J44" s="16" t="n">
        <x:v>0.9</x:v>
      </x:c>
      <x:c r="K44" s="17" t="n">
        <x:f>ROUND((45+H44*8)*J44,0)</x:f>
        <x:v>300</x:v>
      </x:c>
      <x:c r="L44" s="17" t="n">
        <x:f>ROUND(K44*(IF(H44&lt;=10,0.9*H44+0.05*H44*(H44+1),14.5+1.9*(H44-10)))-0.4*IF(H44&lt;=10,0.45*H44*(H44-1)+H44*(H44^2-1)/30,0.95*H44*(H44-1)-12),2)</x:f>
        <x:v>18696</x:v>
      </x:c>
      <x:c r="M44" s="17" t="n">
        <x:f>FLOOR(L44*0.55,0.1)</x:f>
        <x:v>10282.800000000001</x:v>
      </x:c>
      <x:c r="N44" s="17" t="n">
        <x:f>FLOOR(L44*0.75,0.1)</x:f>
        <x:v>14022</x:v>
      </x:c>
      <x:c r="O44" s="18" t="n"/>
    </x:row>
    <x:row r="45">
      <x:c r="B45" s="11" t="n">
        <x:v>41</x:v>
      </x:c>
      <x:c r="C45" s="11" t="n">
        <x:v>5</x:v>
      </x:c>
      <x:c r="D45" s="11" t="inlineStr">
        <x:is>
          <x:t xml:space="preserve">ocean</x:t>
        </x:is>
      </x:c>
      <x:c r="E45" s="11" t="inlineStr">
        <x:is>
          <x:t xml:space="preserve">standard</x:t>
        </x:is>
      </x:c>
      <x:c r="F45" s="11" t="n">
        <x:v>6</x:v>
      </x:c>
      <x:c r="G45" s="11" t="n">
        <x:v>3</x:v>
      </x:c>
      <x:c r="H45" s="12" t="n">
        <x:f>F45*G45</x:f>
        <x:v>18</x:v>
      </x:c>
      <x:c r="I45" s="11" t="n">
        <x:v>81</x:v>
      </x:c>
      <x:c r="J45" s="11" t="n">
        <x:v>1</x:v>
      </x:c>
      <x:c r="K45" s="12" t="n">
        <x:f>ROUND((45+H45*8)*J45,0)</x:f>
        <x:v>189</x:v>
      </x:c>
      <x:c r="L45" s="12" t="n">
        <x:f>ROUND(K45*(IF(H45&lt;=10,0.9*H45+0.05*H45*(H45+1),14.5+1.9*(H45-10)))-0.4*IF(H45&lt;=10,0.45*H45*(H45-1)+H45*(H45^2-1)/30,0.95*H45*(H45-1)-12),2)</x:f>
        <x:v>5501.82</x:v>
      </x:c>
      <x:c r="M45" s="12" t="n">
        <x:f>FLOOR(L45*0.55,0.1)</x:f>
        <x:v>3026</x:v>
      </x:c>
      <x:c r="N45" s="12" t="n">
        <x:f>FLOOR(L45*0.75,0.1)</x:f>
        <x:v>4126.3</x:v>
      </x:c>
      <x:c r="O45" s="11" t="n">
        <x:v>45</x:v>
      </x:c>
    </x:row>
    <x:row r="46">
      <x:c r="B46" s="13" t="n">
        <x:v>42</x:v>
      </x:c>
      <x:c r="C46" s="13" t="n">
        <x:v>5</x:v>
      </x:c>
      <x:c r="D46" s="13" t="inlineStr">
        <x:is>
          <x:t xml:space="preserve">kitchen</x:t>
        </x:is>
      </x:c>
      <x:c r="E46" s="13" t="inlineStr">
        <x:is>
          <x:t xml:space="preserve">cluster</x:t>
        </x:is>
      </x:c>
      <x:c r="F46" s="13" t="n">
        <x:v>1</x:v>
      </x:c>
      <x:c r="G46" s="13" t="n">
        <x:v>8</x:v>
      </x:c>
      <x:c r="H46" s="14" t="n">
        <x:f>F46*G46</x:f>
        <x:v>8</x:v>
      </x:c>
      <x:c r="I46" s="13" t="n">
        <x:v>81</x:v>
      </x:c>
      <x:c r="J46" s="13" t="n">
        <x:v>1.1</x:v>
      </x:c>
      <x:c r="K46" s="14" t="n">
        <x:f>ROUND((45+H46*8)*J46,0)</x:f>
        <x:v>120</x:v>
      </x:c>
      <x:c r="L46" s="14" t="n">
        <x:f>ROUND(K46*(IF(H46&lt;=10,0.9*H46+0.05*H46*(H46+1),14.5+1.9*(H46-10)))-0.4*IF(H46&lt;=10,0.45*H46*(H46-1)+H46*(H46^2-1)/30,0.95*H46*(H46-1)-12),2)</x:f>
        <x:v>1279.2</x:v>
      </x:c>
      <x:c r="M46" s="14" t="n">
        <x:f>FLOOR(L46*0.55,0.1)</x:f>
        <x:v>703.5</x:v>
      </x:c>
      <x:c r="N46" s="14" t="n">
        <x:f>FLOOR(L46*0.75,0.1)</x:f>
        <x:v>959.4000000000001</x:v>
      </x:c>
      <x:c r="O46" s="15" t="n"/>
    </x:row>
    <x:row r="47">
      <x:c r="B47" s="11" t="n">
        <x:v>43</x:v>
      </x:c>
      <x:c r="C47" s="11" t="n">
        <x:v>5</x:v>
      </x:c>
      <x:c r="D47" s="11" t="inlineStr">
        <x:is>
          <x:t xml:space="preserve">toys</x:t>
        </x:is>
      </x:c>
      <x:c r="E47" s="11" t="inlineStr">
        <x:is>
          <x:t xml:space="preserve">standard</x:t>
        </x:is>
      </x:c>
      <x:c r="F47" s="11" t="n">
        <x:v>6</x:v>
      </x:c>
      <x:c r="G47" s="11" t="n">
        <x:v>3</x:v>
      </x:c>
      <x:c r="H47" s="12" t="n">
        <x:f>F47*G47</x:f>
        <x:v>18</x:v>
      </x:c>
      <x:c r="I47" s="11" t="n">
        <x:v>82</x:v>
      </x:c>
      <x:c r="J47" s="11" t="n">
        <x:v>1</x:v>
      </x:c>
      <x:c r="K47" s="12" t="n">
        <x:f>ROUND((45+H47*8)*J47,0)</x:f>
        <x:v>189</x:v>
      </x:c>
      <x:c r="L47" s="12" t="n">
        <x:f>ROUND(K47*(IF(H47&lt;=10,0.9*H47+0.05*H47*(H47+1),14.5+1.9*(H47-10)))-0.4*IF(H47&lt;=10,0.45*H47*(H47-1)+H47*(H47^2-1)/30,0.95*H47*(H47-1)-12),2)</x:f>
        <x:v>5501.82</x:v>
      </x:c>
      <x:c r="M47" s="12" t="n">
        <x:f>FLOOR(L47*0.55,0.1)</x:f>
        <x:v>3026</x:v>
      </x:c>
      <x:c r="N47" s="12" t="n">
        <x:f>FLOOR(L47*0.75,0.1)</x:f>
        <x:v>4126.3</x:v>
      </x:c>
    </x:row>
    <x:row r="48">
      <x:c r="B48" s="13" t="n">
        <x:v>44</x:v>
      </x:c>
      <x:c r="C48" s="13" t="n">
        <x:v>5</x:v>
      </x:c>
      <x:c r="D48" s="13" t="inlineStr">
        <x:is>
          <x:t xml:space="preserve">space</x:t>
        </x:is>
      </x:c>
      <x:c r="E48" s="13" t="inlineStr">
        <x:is>
          <x:t xml:space="preserve">night</x:t>
        </x:is>
      </x:c>
      <x:c r="F48" s="13" t="n">
        <x:v>6</x:v>
      </x:c>
      <x:c r="G48" s="13" t="n">
        <x:v>3</x:v>
      </x:c>
      <x:c r="H48" s="14" t="n">
        <x:f>F48*G48</x:f>
        <x:v>18</x:v>
      </x:c>
      <x:c r="I48" s="13" t="n">
        <x:v>83</x:v>
      </x:c>
      <x:c r="J48" s="13" t="n">
        <x:v>1.2</x:v>
      </x:c>
      <x:c r="K48" s="14" t="n">
        <x:f>ROUND((45+H48*8)*J48,0)</x:f>
        <x:v>227</x:v>
      </x:c>
      <x:c r="L48" s="14" t="n">
        <x:f>ROUND(K48*(IF(H48&lt;=10,0.9*H48+0.05*H48*(H48+1),14.5+1.9*(H48-10)))-0.4*IF(H48&lt;=10,0.45*H48*(H48-1)+H48*(H48^2-1)/30,0.95*H48*(H48-1)-12),2)</x:f>
        <x:v>6630.42</x:v>
      </x:c>
      <x:c r="M48" s="14" t="n">
        <x:f>FLOOR(L48*0.55,0.1)</x:f>
        <x:v>3646.7000000000003</x:v>
      </x:c>
      <x:c r="N48" s="14" t="n">
        <x:f>FLOOR(L48*0.75,0.1)</x:f>
        <x:v>4972.8</x:v>
      </x:c>
      <x:c r="O48" s="15" t="n"/>
    </x:row>
    <x:row r="49">
      <x:c r="B49" s="11" t="n">
        <x:v>45</x:v>
      </x:c>
      <x:c r="C49" s="11" t="n">
        <x:v>5</x:v>
      </x:c>
      <x:c r="D49" s="11" t="inlineStr">
        <x:is>
          <x:t xml:space="preserve">nature</x:t>
        </x:is>
      </x:c>
      <x:c r="E49" s="11" t="inlineStr">
        <x:is>
          <x:t xml:space="preserve">standard</x:t>
        </x:is>
      </x:c>
      <x:c r="F49" s="11" t="n">
        <x:v>6</x:v>
      </x:c>
      <x:c r="G49" s="11" t="n">
        <x:v>3</x:v>
      </x:c>
      <x:c r="H49" s="12" t="n">
        <x:f>F49*G49</x:f>
        <x:v>18</x:v>
      </x:c>
      <x:c r="I49" s="11" t="n">
        <x:v>83</x:v>
      </x:c>
      <x:c r="J49" s="11" t="n">
        <x:v>1</x:v>
      </x:c>
      <x:c r="K49" s="12" t="n">
        <x:f>ROUND((45+H49*8)*J49,0)</x:f>
        <x:v>189</x:v>
      </x:c>
      <x:c r="L49" s="12" t="n">
        <x:f>ROUND(K49*(IF(H49&lt;=10,0.9*H49+0.05*H49*(H49+1),14.5+1.9*(H49-10)))-0.4*IF(H49&lt;=10,0.45*H49*(H49-1)+H49*(H49^2-1)/30,0.95*H49*(H49-1)-12),2)</x:f>
        <x:v>5501.82</x:v>
      </x:c>
      <x:c r="M49" s="12" t="n">
        <x:f>FLOOR(L49*0.55,0.1)</x:f>
        <x:v>3026</x:v>
      </x:c>
      <x:c r="N49" s="12" t="n">
        <x:f>FLOOR(L49*0.75,0.1)</x:f>
        <x:v>4126.3</x:v>
      </x:c>
    </x:row>
    <x:row r="50">
      <x:c r="B50" s="13" t="n">
        <x:v>46</x:v>
      </x:c>
      <x:c r="C50" s="13" t="n">
        <x:v>5</x:v>
      </x:c>
      <x:c r="D50" s="13" t="inlineStr">
        <x:is>
          <x:t xml:space="preserve">travel</x:t>
        </x:is>
      </x:c>
      <x:c r="E50" s="13" t="inlineStr">
        <x:is>
          <x:t xml:space="preserve">mist</x:t>
        </x:is>
      </x:c>
      <x:c r="F50" s="13" t="n">
        <x:v>6</x:v>
      </x:c>
      <x:c r="G50" s="13" t="n">
        <x:v>3</x:v>
      </x:c>
      <x:c r="H50" s="14" t="n">
        <x:f>F50*G50</x:f>
        <x:v>18</x:v>
      </x:c>
      <x:c r="I50" s="13" t="n">
        <x:v>84</x:v>
      </x:c>
      <x:c r="J50" s="13" t="n">
        <x:v>1.15</x:v>
      </x:c>
      <x:c r="K50" s="14" t="n">
        <x:f>ROUND((45+H50*8)*J50,0)</x:f>
        <x:v>217</x:v>
      </x:c>
      <x:c r="L50" s="14" t="n">
        <x:f>ROUND(K50*(IF(H50&lt;=10,0.9*H50+0.05*H50*(H50+1),14.5+1.9*(H50-10)))-0.4*IF(H50&lt;=10,0.45*H50*(H50-1)+H50*(H50^2-1)/30,0.95*H50*(H50-1)-12),2)</x:f>
        <x:v>6333.42</x:v>
      </x:c>
      <x:c r="M50" s="14" t="n">
        <x:f>FLOOR(L50*0.55,0.1)</x:f>
        <x:v>3483.3</x:v>
      </x:c>
      <x:c r="N50" s="14" t="n">
        <x:f>FLOOR(L50*0.75,0.1)</x:f>
        <x:v>4750</x:v>
      </x:c>
      <x:c r="O50" s="15" t="n"/>
    </x:row>
    <x:row r="51">
      <x:c r="B51" s="11" t="n">
        <x:v>47</x:v>
      </x:c>
      <x:c r="C51" s="11" t="n">
        <x:v>5</x:v>
      </x:c>
      <x:c r="D51" s="11" t="inlineStr">
        <x:is>
          <x:t xml:space="preserve">ocean</x:t>
        </x:is>
      </x:c>
      <x:c r="E51" s="11" t="inlineStr">
        <x:is>
          <x:t xml:space="preserve">standard</x:t>
        </x:is>
      </x:c>
      <x:c r="F51" s="11" t="n">
        <x:v>6</x:v>
      </x:c>
      <x:c r="G51" s="11" t="n">
        <x:v>3</x:v>
      </x:c>
      <x:c r="H51" s="12" t="n">
        <x:f>F51*G51</x:f>
        <x:v>18</x:v>
      </x:c>
      <x:c r="I51" s="11" t="n">
        <x:v>85</x:v>
      </x:c>
      <x:c r="J51" s="11" t="n">
        <x:v>1</x:v>
      </x:c>
      <x:c r="K51" s="12" t="n">
        <x:f>ROUND((45+H51*8)*J51,0)</x:f>
        <x:v>189</x:v>
      </x:c>
      <x:c r="L51" s="12" t="n">
        <x:f>ROUND(K51*(IF(H51&lt;=10,0.9*H51+0.05*H51*(H51+1),14.5+1.9*(H51-10)))-0.4*IF(H51&lt;=10,0.45*H51*(H51-1)+H51*(H51^2-1)/30,0.95*H51*(H51-1)-12),2)</x:f>
        <x:v>5501.82</x:v>
      </x:c>
      <x:c r="M51" s="12" t="n">
        <x:f>FLOOR(L51*0.55,0.1)</x:f>
        <x:v>3026</x:v>
      </x:c>
      <x:c r="N51" s="12" t="n">
        <x:f>FLOOR(L51*0.75,0.1)</x:f>
        <x:v>4126.3</x:v>
      </x:c>
    </x:row>
    <x:row r="52">
      <x:c r="B52" s="13" t="n">
        <x:v>48</x:v>
      </x:c>
      <x:c r="C52" s="13" t="n">
        <x:v>5</x:v>
      </x:c>
      <x:c r="D52" s="13" t="inlineStr">
        <x:is>
          <x:t xml:space="preserve">kitchen</x:t>
        </x:is>
      </x:c>
      <x:c r="E52" s="13" t="inlineStr">
        <x:is>
          <x:t xml:space="preserve">standard</x:t>
        </x:is>
      </x:c>
      <x:c r="F52" s="13" t="n">
        <x:v>6</x:v>
      </x:c>
      <x:c r="G52" s="13" t="n">
        <x:v>3</x:v>
      </x:c>
      <x:c r="H52" s="14" t="n">
        <x:f>F52*G52</x:f>
        <x:v>18</x:v>
      </x:c>
      <x:c r="I52" s="13" t="n">
        <x:v>85</x:v>
      </x:c>
      <x:c r="J52" s="13" t="n">
        <x:v>1</x:v>
      </x:c>
      <x:c r="K52" s="14" t="n">
        <x:f>ROUND((45+H52*8)*J52,0)</x:f>
        <x:v>189</x:v>
      </x:c>
      <x:c r="L52" s="14" t="n">
        <x:f>ROUND(K52*(IF(H52&lt;=10,0.9*H52+0.05*H52*(H52+1),14.5+1.9*(H52-10)))-0.4*IF(H52&lt;=10,0.45*H52*(H52-1)+H52*(H52^2-1)/30,0.95*H52*(H52-1)-12),2)</x:f>
        <x:v>5501.82</x:v>
      </x:c>
      <x:c r="M52" s="14" t="n">
        <x:f>FLOOR(L52*0.55,0.1)</x:f>
        <x:v>3026</x:v>
      </x:c>
      <x:c r="N52" s="14" t="n">
        <x:f>FLOOR(L52*0.75,0.1)</x:f>
        <x:v>4126.3</x:v>
      </x:c>
      <x:c r="O52" s="15" t="n"/>
    </x:row>
    <x:row r="53">
      <x:c r="B53" s="11" t="n">
        <x:v>49</x:v>
      </x:c>
      <x:c r="C53" s="11" t="n">
        <x:v>5</x:v>
      </x:c>
      <x:c r="D53" s="11" t="inlineStr">
        <x:is>
          <x:t xml:space="preserve">toys</x:t>
        </x:is>
      </x:c>
      <x:c r="E53" s="11" t="inlineStr">
        <x:is>
          <x:t xml:space="preserve">standard</x:t>
        </x:is>
      </x:c>
      <x:c r="F53" s="11" t="n">
        <x:v>6</x:v>
      </x:c>
      <x:c r="G53" s="11" t="n">
        <x:v>3</x:v>
      </x:c>
      <x:c r="H53" s="12" t="n">
        <x:f>F53*G53</x:f>
        <x:v>18</x:v>
      </x:c>
      <x:c r="I53" s="11" t="n">
        <x:v>86</x:v>
      </x:c>
      <x:c r="J53" s="11" t="n">
        <x:v>1</x:v>
      </x:c>
      <x:c r="K53" s="12" t="n">
        <x:f>ROUND((45+H53*8)*J53,0)</x:f>
        <x:v>189</x:v>
      </x:c>
      <x:c r="L53" s="12" t="n">
        <x:f>ROUND(K53*(IF(H53&lt;=10,0.9*H53+0.05*H53*(H53+1),14.5+1.9*(H53-10)))-0.4*IF(H53&lt;=10,0.45*H53*(H53-1)+H53*(H53^2-1)/30,0.95*H53*(H53-1)-12),2)</x:f>
        <x:v>5501.82</x:v>
      </x:c>
      <x:c r="M53" s="12" t="n">
        <x:f>FLOOR(L53*0.55,0.1)</x:f>
        <x:v>3026</x:v>
      </x:c>
      <x:c r="N53" s="12" t="n">
        <x:f>FLOOR(L53*0.75,0.1)</x:f>
        <x:v>4126.3</x:v>
      </x:c>
    </x:row>
    <x:row r="54">
      <x:c r="B54" s="16" t="n">
        <x:v>50</x:v>
      </x:c>
      <x:c r="C54" s="16" t="n">
        <x:v>5</x:v>
      </x:c>
      <x:c r="D54" s="16" t="inlineStr">
        <x:is>
          <x:t xml:space="preserve">nature</x:t>
        </x:is>
      </x:c>
      <x:c r="E54" s="16" t="inlineStr">
        <x:is>
          <x:t xml:space="preserve">boss</x:t>
        </x:is>
      </x:c>
      <x:c r="F54" s="16" t="n">
        <x:v>12</x:v>
      </x:c>
      <x:c r="G54" s="16" t="n">
        <x:v>3</x:v>
      </x:c>
      <x:c r="H54" s="17" t="n">
        <x:f>F54*G54</x:f>
        <x:v>36</x:v>
      </x:c>
      <x:c r="I54" s="16" t="n">
        <x:v>99</x:v>
      </x:c>
      <x:c r="J54" s="16" t="n">
        <x:v>0.9</x:v>
      </x:c>
      <x:c r="K54" s="17" t="n">
        <x:f>ROUND((45+H54*8)*J54,0)</x:f>
        <x:v>300</x:v>
      </x:c>
      <x:c r="L54" s="17" t="n">
        <x:f>ROUND(K54*(IF(H54&lt;=10,0.9*H54+0.05*H54*(H54+1),14.5+1.9*(H54-10)))-0.4*IF(H54&lt;=10,0.45*H54*(H54-1)+H54*(H54^2-1)/30,0.95*H54*(H54-1)-12),2)</x:f>
        <x:v>18696</x:v>
      </x:c>
      <x:c r="M54" s="17" t="n">
        <x:f>FLOOR(L54*0.55,0.1)</x:f>
        <x:v>10282.800000000001</x:v>
      </x:c>
      <x:c r="N54" s="17" t="n">
        <x:f>FLOOR(L54*0.75,0.1)</x:f>
        <x:v>14022</x:v>
      </x:c>
      <x:c r="O54" s="18" t="n"/>
    </x:row>
    <x:row r="55">
      <x:c r="B55" s="11" t="n">
        <x:v>51</x:v>
      </x:c>
      <x:c r="C55" s="11" t="n">
        <x:v>6</x:v>
      </x:c>
      <x:c r="D55" s="11" t="inlineStr">
        <x:is>
          <x:t xml:space="preserve">space</x:t>
        </x:is>
      </x:c>
      <x:c r="E55" s="11" t="inlineStr">
        <x:is>
          <x:t xml:space="preserve">standard</x:t>
        </x:is>
      </x:c>
      <x:c r="F55" s="11" t="n">
        <x:v>6</x:v>
      </x:c>
      <x:c r="G55" s="11" t="n">
        <x:v>3</x:v>
      </x:c>
      <x:c r="H55" s="12" t="n">
        <x:f>F55*G55</x:f>
        <x:v>18</x:v>
      </x:c>
      <x:c r="I55" s="11" t="n">
        <x:v>87</x:v>
      </x:c>
      <x:c r="J55" s="11" t="n">
        <x:v>1</x:v>
      </x:c>
      <x:c r="K55" s="12" t="n">
        <x:f>ROUND((45+H55*8)*J55,0)</x:f>
        <x:v>189</x:v>
      </x:c>
      <x:c r="L55" s="12" t="n">
        <x:f>ROUND(K55*(IF(H55&lt;=10,0.9*H55+0.05*H55*(H55+1),14.5+1.9*(H55-10)))-0.4*IF(H55&lt;=10,0.45*H55*(H55-1)+H55*(H55^2-1)/30,0.95*H55*(H55-1)-12),2)</x:f>
        <x:v>5501.82</x:v>
      </x:c>
      <x:c r="M55" s="12" t="n">
        <x:f>FLOOR(L55*0.55,0.1)</x:f>
        <x:v>3026</x:v>
      </x:c>
      <x:c r="N55" s="12" t="n">
        <x:f>FLOOR(L55*0.75,0.1)</x:f>
        <x:v>4126.3</x:v>
      </x:c>
    </x:row>
    <x:row r="56">
      <x:c r="B56" s="13" t="n">
        <x:v>52</x:v>
      </x:c>
      <x:c r="C56" s="13" t="n">
        <x:v>6</x:v>
      </x:c>
      <x:c r="D56" s="13" t="inlineStr">
        <x:is>
          <x:t xml:space="preserve">travel</x:t>
        </x:is>
      </x:c>
      <x:c r="E56" s="13" t="inlineStr">
        <x:is>
          <x:t xml:space="preserve">cluster</x:t>
        </x:is>
      </x:c>
      <x:c r="F56" s="13" t="n">
        <x:v>2</x:v>
      </x:c>
      <x:c r="G56" s="13" t="n">
        <x:v>6</x:v>
      </x:c>
      <x:c r="H56" s="14" t="n">
        <x:f>F56*G56</x:f>
        <x:v>12</x:v>
      </x:c>
      <x:c r="I56" s="13" t="n">
        <x:v>87</x:v>
      </x:c>
      <x:c r="J56" s="13" t="n">
        <x:v>1.1</x:v>
      </x:c>
      <x:c r="K56" s="14" t="n">
        <x:f>ROUND((45+H56*8)*J56,0)</x:f>
        <x:v>155</x:v>
      </x:c>
      <x:c r="L56" s="14" t="n">
        <x:f>ROUND(K56*(IF(H56&lt;=10,0.9*H56+0.05*H56*(H56+1),14.5+1.9*(H56-10)))-0.4*IF(H56&lt;=10,0.45*H56*(H56-1)+H56*(H56^2-1)/30,0.95*H56*(H56-1)-12),2)</x:f>
        <x:v>2791.14</x:v>
      </x:c>
      <x:c r="M56" s="14" t="n">
        <x:f>FLOOR(L56*0.55,0.1)</x:f>
        <x:v>1535.1000000000001</x:v>
      </x:c>
      <x:c r="N56" s="14" t="n">
        <x:f>FLOOR(L56*0.75,0.1)</x:f>
        <x:v>2093.3</x:v>
      </x:c>
      <x:c r="O56" s="15" t="n"/>
    </x:row>
    <x:row r="57">
      <x:c r="B57" s="11" t="n">
        <x:v>53</x:v>
      </x:c>
      <x:c r="C57" s="11" t="n">
        <x:v>6</x:v>
      </x:c>
      <x:c r="D57" s="11" t="inlineStr">
        <x:is>
          <x:t xml:space="preserve">kitchen</x:t>
        </x:is>
      </x:c>
      <x:c r="E57" s="11" t="inlineStr">
        <x:is>
          <x:t xml:space="preserve">standard</x:t>
        </x:is>
      </x:c>
      <x:c r="F57" s="11" t="n">
        <x:v>6</x:v>
      </x:c>
      <x:c r="G57" s="11" t="n">
        <x:v>3</x:v>
      </x:c>
      <x:c r="H57" s="12" t="n">
        <x:f>F57*G57</x:f>
        <x:v>18</x:v>
      </x:c>
      <x:c r="I57" s="11" t="n">
        <x:v>88</x:v>
      </x:c>
      <x:c r="J57" s="11" t="n">
        <x:v>1</x:v>
      </x:c>
      <x:c r="K57" s="12" t="n">
        <x:f>ROUND((45+H57*8)*J57,0)</x:f>
        <x:v>189</x:v>
      </x:c>
      <x:c r="L57" s="12" t="n">
        <x:f>ROUND(K57*(IF(H57&lt;=10,0.9*H57+0.05*H57*(H57+1),14.5+1.9*(H57-10)))-0.4*IF(H57&lt;=10,0.45*H57*(H57-1)+H57*(H57^2-1)/30,0.95*H57*(H57-1)-12),2)</x:f>
        <x:v>5501.82</x:v>
      </x:c>
      <x:c r="M57" s="12" t="n">
        <x:f>FLOOR(L57*0.55,0.1)</x:f>
        <x:v>3026</x:v>
      </x:c>
      <x:c r="N57" s="12" t="n">
        <x:f>FLOOR(L57*0.75,0.1)</x:f>
        <x:v>4126.3</x:v>
      </x:c>
    </x:row>
    <x:row r="58">
      <x:c r="B58" s="13" t="n">
        <x:v>54</x:v>
      </x:c>
      <x:c r="C58" s="13" t="n">
        <x:v>6</x:v>
      </x:c>
      <x:c r="D58" s="13" t="inlineStr">
        <x:is>
          <x:t xml:space="preserve">ocean</x:t>
        </x:is>
      </x:c>
      <x:c r="E58" s="13" t="inlineStr">
        <x:is>
          <x:t xml:space="preserve">night</x:t>
        </x:is>
      </x:c>
      <x:c r="F58" s="13" t="n">
        <x:v>6</x:v>
      </x:c>
      <x:c r="G58" s="13" t="n">
        <x:v>3</x:v>
      </x:c>
      <x:c r="H58" s="14" t="n">
        <x:f>F58*G58</x:f>
        <x:v>18</x:v>
      </x:c>
      <x:c r="I58" s="13" t="n">
        <x:v>89</x:v>
      </x:c>
      <x:c r="J58" s="13" t="n">
        <x:v>1.2</x:v>
      </x:c>
      <x:c r="K58" s="14" t="n">
        <x:f>ROUND((45+H58*8)*J58,0)</x:f>
        <x:v>227</x:v>
      </x:c>
      <x:c r="L58" s="14" t="n">
        <x:f>ROUND(K58*(IF(H58&lt;=10,0.9*H58+0.05*H58*(H58+1),14.5+1.9*(H58-10)))-0.4*IF(H58&lt;=10,0.45*H58*(H58-1)+H58*(H58^2-1)/30,0.95*H58*(H58-1)-12),2)</x:f>
        <x:v>6630.42</x:v>
      </x:c>
      <x:c r="M58" s="14" t="n">
        <x:f>FLOOR(L58*0.55,0.1)</x:f>
        <x:v>3646.7000000000003</x:v>
      </x:c>
      <x:c r="N58" s="14" t="n">
        <x:f>FLOOR(L58*0.75,0.1)</x:f>
        <x:v>4972.8</x:v>
      </x:c>
      <x:c r="O58" s="15" t="n"/>
    </x:row>
    <x:row r="59">
      <x:c r="B59" s="11" t="n">
        <x:v>55</x:v>
      </x:c>
      <x:c r="C59" s="11" t="n">
        <x:v>6</x:v>
      </x:c>
      <x:c r="D59" s="11" t="inlineStr">
        <x:is>
          <x:t xml:space="preserve">toys</x:t>
        </x:is>
      </x:c>
      <x:c r="E59" s="11" t="inlineStr">
        <x:is>
          <x:t xml:space="preserve">standard</x:t>
        </x:is>
      </x:c>
      <x:c r="F59" s="11" t="n">
        <x:v>6</x:v>
      </x:c>
      <x:c r="G59" s="11" t="n">
        <x:v>3</x:v>
      </x:c>
      <x:c r="H59" s="12" t="n">
        <x:f>F59*G59</x:f>
        <x:v>18</x:v>
      </x:c>
      <x:c r="I59" s="11" t="n">
        <x:v>89</x:v>
      </x:c>
      <x:c r="J59" s="11" t="n">
        <x:v>1</x:v>
      </x:c>
      <x:c r="K59" s="12" t="n">
        <x:f>ROUND((45+H59*8)*J59,0)</x:f>
        <x:v>189</x:v>
      </x:c>
      <x:c r="L59" s="12" t="n">
        <x:f>ROUND(K59*(IF(H59&lt;=10,0.9*H59+0.05*H59*(H59+1),14.5+1.9*(H59-10)))-0.4*IF(H59&lt;=10,0.45*H59*(H59-1)+H59*(H59^2-1)/30,0.95*H59*(H59-1)-12),2)</x:f>
        <x:v>5501.82</x:v>
      </x:c>
      <x:c r="M59" s="12" t="n">
        <x:f>FLOOR(L59*0.55,0.1)</x:f>
        <x:v>3026</x:v>
      </x:c>
      <x:c r="N59" s="12" t="n">
        <x:f>FLOOR(L59*0.75,0.1)</x:f>
        <x:v>4126.3</x:v>
      </x:c>
    </x:row>
    <x:row r="60">
      <x:c r="B60" s="13" t="n">
        <x:v>56</x:v>
      </x:c>
      <x:c r="C60" s="13" t="n">
        <x:v>6</x:v>
      </x:c>
      <x:c r="D60" s="13" t="inlineStr">
        <x:is>
          <x:t xml:space="preserve">space</x:t>
        </x:is>
      </x:c>
      <x:c r="E60" s="13" t="inlineStr">
        <x:is>
          <x:t xml:space="preserve">mist</x:t>
        </x:is>
      </x:c>
      <x:c r="F60" s="13" t="n">
        <x:v>6</x:v>
      </x:c>
      <x:c r="G60" s="13" t="n">
        <x:v>3</x:v>
      </x:c>
      <x:c r="H60" s="14" t="n">
        <x:f>F60*G60</x:f>
        <x:v>18</x:v>
      </x:c>
      <x:c r="I60" s="13" t="n">
        <x:v>90</x:v>
      </x:c>
      <x:c r="J60" s="13" t="n">
        <x:v>1.15</x:v>
      </x:c>
      <x:c r="K60" s="14" t="n">
        <x:f>ROUND((45+H60*8)*J60,0)</x:f>
        <x:v>217</x:v>
      </x:c>
      <x:c r="L60" s="14" t="n">
        <x:f>ROUND(K60*(IF(H60&lt;=10,0.9*H60+0.05*H60*(H60+1),14.5+1.9*(H60-10)))-0.4*IF(H60&lt;=10,0.45*H60*(H60-1)+H60*(H60^2-1)/30,0.95*H60*(H60-1)-12),2)</x:f>
        <x:v>6333.42</x:v>
      </x:c>
      <x:c r="M60" s="14" t="n">
        <x:f>FLOOR(L60*0.55,0.1)</x:f>
        <x:v>3483.3</x:v>
      </x:c>
      <x:c r="N60" s="14" t="n">
        <x:f>FLOOR(L60*0.75,0.1)</x:f>
        <x:v>4750</x:v>
      </x:c>
      <x:c r="O60" s="15" t="n"/>
    </x:row>
    <x:row r="61">
      <x:c r="B61" s="11" t="n">
        <x:v>57</x:v>
      </x:c>
      <x:c r="C61" s="11" t="n">
        <x:v>6</x:v>
      </x:c>
      <x:c r="D61" s="11" t="inlineStr">
        <x:is>
          <x:t xml:space="preserve">nature</x:t>
        </x:is>
      </x:c>
      <x:c r="E61" s="11" t="inlineStr">
        <x:is>
          <x:t xml:space="preserve">standard</x:t>
        </x:is>
      </x:c>
      <x:c r="F61" s="11" t="n">
        <x:v>6</x:v>
      </x:c>
      <x:c r="G61" s="11" t="n">
        <x:v>3</x:v>
      </x:c>
      <x:c r="H61" s="12" t="n">
        <x:f>F61*G61</x:f>
        <x:v>18</x:v>
      </x:c>
      <x:c r="I61" s="11" t="n">
        <x:v>90</x:v>
      </x:c>
      <x:c r="J61" s="11" t="n">
        <x:v>1</x:v>
      </x:c>
      <x:c r="K61" s="12" t="n">
        <x:f>ROUND((45+H61*8)*J61,0)</x:f>
        <x:v>189</x:v>
      </x:c>
      <x:c r="L61" s="12" t="n">
        <x:f>ROUND(K61*(IF(H61&lt;=10,0.9*H61+0.05*H61*(H61+1),14.5+1.9*(H61-10)))-0.4*IF(H61&lt;=10,0.45*H61*(H61-1)+H61*(H61^2-1)/30,0.95*H61*(H61-1)-12),2)</x:f>
        <x:v>5501.82</x:v>
      </x:c>
      <x:c r="M61" s="12" t="n">
        <x:f>FLOOR(L61*0.55,0.1)</x:f>
        <x:v>3026</x:v>
      </x:c>
      <x:c r="N61" s="12" t="n">
        <x:f>FLOOR(L61*0.75,0.1)</x:f>
        <x:v>4126.3</x:v>
      </x:c>
    </x:row>
    <x:row r="62">
      <x:c r="B62" s="13" t="n">
        <x:v>58</x:v>
      </x:c>
      <x:c r="C62" s="13" t="n">
        <x:v>6</x:v>
      </x:c>
      <x:c r="D62" s="13" t="inlineStr">
        <x:is>
          <x:t xml:space="preserve">ocean</x:t>
        </x:is>
      </x:c>
      <x:c r="E62" s="13" t="inlineStr">
        <x:is>
          <x:t xml:space="preserve">night</x:t>
        </x:is>
      </x:c>
      <x:c r="F62" s="13" t="n">
        <x:v>6</x:v>
      </x:c>
      <x:c r="G62" s="13" t="n">
        <x:v>3</x:v>
      </x:c>
      <x:c r="H62" s="14" t="n">
        <x:f>F62*G62</x:f>
        <x:v>18</x:v>
      </x:c>
      <x:c r="I62" s="13" t="n">
        <x:v>91</x:v>
      </x:c>
      <x:c r="J62" s="13" t="n">
        <x:v>1.2</x:v>
      </x:c>
      <x:c r="K62" s="14" t="n">
        <x:f>ROUND((45+H62*8)*J62,0)</x:f>
        <x:v>227</x:v>
      </x:c>
      <x:c r="L62" s="14" t="n">
        <x:f>ROUND(K62*(IF(H62&lt;=10,0.9*H62+0.05*H62*(H62+1),14.5+1.9*(H62-10)))-0.4*IF(H62&lt;=10,0.45*H62*(H62-1)+H62*(H62^2-1)/30,0.95*H62*(H62-1)-12),2)</x:f>
        <x:v>6630.42</x:v>
      </x:c>
      <x:c r="M62" s="14" t="n">
        <x:f>FLOOR(L62*0.55,0.1)</x:f>
        <x:v>3646.7000000000003</x:v>
      </x:c>
      <x:c r="N62" s="14" t="n">
        <x:f>FLOOR(L62*0.75,0.1)</x:f>
        <x:v>4972.8</x:v>
      </x:c>
      <x:c r="O62" s="15" t="n"/>
    </x:row>
    <x:row r="63">
      <x:c r="B63" s="11" t="n">
        <x:v>59</x:v>
      </x:c>
      <x:c r="C63" s="11" t="n">
        <x:v>6</x:v>
      </x:c>
      <x:c r="D63" s="11" t="inlineStr">
        <x:is>
          <x:t xml:space="preserve">travel</x:t>
        </x:is>
      </x:c>
      <x:c r="E63" s="11" t="inlineStr">
        <x:is>
          <x:t xml:space="preserve">standard</x:t>
        </x:is>
      </x:c>
      <x:c r="F63" s="11" t="n">
        <x:v>6</x:v>
      </x:c>
      <x:c r="G63" s="11" t="n">
        <x:v>3</x:v>
      </x:c>
      <x:c r="H63" s="12" t="n">
        <x:f>F63*G63</x:f>
        <x:v>18</x:v>
      </x:c>
      <x:c r="I63" s="11" t="n">
        <x:v>91</x:v>
      </x:c>
      <x:c r="J63" s="11" t="n">
        <x:v>1</x:v>
      </x:c>
      <x:c r="K63" s="12" t="n">
        <x:f>ROUND((45+H63*8)*J63,0)</x:f>
        <x:v>189</x:v>
      </x:c>
      <x:c r="L63" s="12" t="n">
        <x:f>ROUND(K63*(IF(H63&lt;=10,0.9*H63+0.05*H63*(H63+1),14.5+1.9*(H63-10)))-0.4*IF(H63&lt;=10,0.45*H63*(H63-1)+H63*(H63^2-1)/30,0.95*H63*(H63-1)-12),2)</x:f>
        <x:v>5501.82</x:v>
      </x:c>
      <x:c r="M63" s="12" t="n">
        <x:f>FLOOR(L63*0.55,0.1)</x:f>
        <x:v>3026</x:v>
      </x:c>
      <x:c r="N63" s="12" t="n">
        <x:f>FLOOR(L63*0.75,0.1)</x:f>
        <x:v>4126.3</x:v>
      </x:c>
    </x:row>
    <x:row r="64">
      <x:c r="B64" s="16" t="n">
        <x:v>60</x:v>
      </x:c>
      <x:c r="C64" s="16" t="n">
        <x:v>6</x:v>
      </x:c>
      <x:c r="D64" s="16" t="inlineStr">
        <x:is>
          <x:t xml:space="preserve">space</x:t>
        </x:is>
      </x:c>
      <x:c r="E64" s="16" t="inlineStr">
        <x:is>
          <x:t xml:space="preserve">boss</x:t>
        </x:is>
      </x:c>
      <x:c r="F64" s="16" t="n">
        <x:v>12</x:v>
      </x:c>
      <x:c r="G64" s="16" t="n">
        <x:v>3</x:v>
      </x:c>
      <x:c r="H64" s="17" t="n">
        <x:f>F64*G64</x:f>
        <x:v>36</x:v>
      </x:c>
      <x:c r="I64" s="16" t="n">
        <x:v>106</x:v>
      </x:c>
      <x:c r="J64" s="16" t="n">
        <x:v>0.9</x:v>
      </x:c>
      <x:c r="K64" s="17" t="n">
        <x:f>ROUND((45+H64*8)*J64,0)</x:f>
        <x:v>300</x:v>
      </x:c>
      <x:c r="L64" s="17" t="n">
        <x:f>ROUND(K64*(IF(H64&lt;=10,0.9*H64+0.05*H64*(H64+1),14.5+1.9*(H64-10)))-0.4*IF(H64&lt;=10,0.45*H64*(H64-1)+H64*(H64^2-1)/30,0.95*H64*(H64-1)-12),2)</x:f>
        <x:v>18696</x:v>
      </x:c>
      <x:c r="M64" s="17" t="n">
        <x:f>FLOOR(L64*0.55,0.1)</x:f>
        <x:v>10282.800000000001</x:v>
      </x:c>
      <x:c r="N64" s="17" t="n">
        <x:f>FLOOR(L64*0.75,0.1)</x:f>
        <x:v>14022</x:v>
      </x:c>
      <x:c r="O64" s="18" t="n"/>
    </x:row>
    <x:row r="65">
      <x:c r="B65" s="11" t="n">
        <x:v>61</x:v>
      </x:c>
      <x:c r="C65" s="11" t="n">
        <x:v>7</x:v>
      </x:c>
      <x:c r="D65" s="11" t="inlineStr">
        <x:is>
          <x:t xml:space="preserve">kitchen</x:t>
        </x:is>
      </x:c>
      <x:c r="E65" s="11" t="inlineStr">
        <x:is>
          <x:t xml:space="preserve">standard</x:t>
        </x:is>
      </x:c>
      <x:c r="F65" s="11" t="n">
        <x:v>6</x:v>
      </x:c>
      <x:c r="G65" s="11" t="n">
        <x:v>3</x:v>
      </x:c>
      <x:c r="H65" s="12" t="n">
        <x:f>F65*G65</x:f>
        <x:v>18</x:v>
      </x:c>
      <x:c r="I65" s="11" t="n">
        <x:v>92</x:v>
      </x:c>
      <x:c r="J65" s="11" t="n">
        <x:v>1</x:v>
      </x:c>
      <x:c r="K65" s="12" t="n">
        <x:f>ROUND((45+H65*8)*J65,0)</x:f>
        <x:v>189</x:v>
      </x:c>
      <x:c r="L65" s="12" t="n">
        <x:f>ROUND(K65*(IF(H65&lt;=10,0.9*H65+0.05*H65*(H65+1),14.5+1.9*(H65-10)))-0.4*IF(H65&lt;=10,0.45*H65*(H65-1)+H65*(H65^2-1)/30,0.95*H65*(H65-1)-12),2)</x:f>
        <x:v>5501.82</x:v>
      </x:c>
      <x:c r="M65" s="12" t="n">
        <x:f>FLOOR(L65*0.55,0.1)</x:f>
        <x:v>3026</x:v>
      </x:c>
      <x:c r="N65" s="12" t="n">
        <x:f>FLOOR(L65*0.75,0.1)</x:f>
        <x:v>4126.3</x:v>
      </x:c>
      <x:c r="O65" s="11" t="n">
        <x:v>80</x:v>
      </x:c>
    </x:row>
    <x:row r="66">
      <x:c r="B66" s="13" t="n">
        <x:v>62</x:v>
      </x:c>
      <x:c r="C66" s="13" t="n">
        <x:v>7</x:v>
      </x:c>
      <x:c r="D66" s="13" t="inlineStr">
        <x:is>
          <x:t xml:space="preserve">toys</x:t>
        </x:is>
      </x:c>
      <x:c r="E66" s="13" t="inlineStr">
        <x:is>
          <x:t xml:space="preserve">mist</x:t>
        </x:is>
      </x:c>
      <x:c r="F66" s="13" t="n">
        <x:v>6</x:v>
      </x:c>
      <x:c r="G66" s="13" t="n">
        <x:v>3</x:v>
      </x:c>
      <x:c r="H66" s="14" t="n">
        <x:f>F66*G66</x:f>
        <x:v>18</x:v>
      </x:c>
      <x:c r="I66" s="13" t="n">
        <x:v>93</x:v>
      </x:c>
      <x:c r="J66" s="13" t="n">
        <x:v>1.15</x:v>
      </x:c>
      <x:c r="K66" s="14" t="n">
        <x:f>ROUND((45+H66*8)*J66,0)</x:f>
        <x:v>217</x:v>
      </x:c>
      <x:c r="L66" s="14" t="n">
        <x:f>ROUND(K66*(IF(H66&lt;=10,0.9*H66+0.05*H66*(H66+1),14.5+1.9*(H66-10)))-0.4*IF(H66&lt;=10,0.45*H66*(H66-1)+H66*(H66^2-1)/30,0.95*H66*(H66-1)-12),2)</x:f>
        <x:v>6333.42</x:v>
      </x:c>
      <x:c r="M66" s="14" t="n">
        <x:f>FLOOR(L66*0.55,0.1)</x:f>
        <x:v>3483.3</x:v>
      </x:c>
      <x:c r="N66" s="14" t="n">
        <x:f>FLOOR(L66*0.75,0.1)</x:f>
        <x:v>4750</x:v>
      </x:c>
      <x:c r="O66" s="15" t="n"/>
    </x:row>
    <x:row r="67">
      <x:c r="B67" s="11" t="n">
        <x:v>63</x:v>
      </x:c>
      <x:c r="C67" s="11" t="n">
        <x:v>7</x:v>
      </x:c>
      <x:c r="D67" s="11" t="inlineStr">
        <x:is>
          <x:t xml:space="preserve">ocean</x:t>
        </x:is>
      </x:c>
      <x:c r="E67" s="11" t="inlineStr">
        <x:is>
          <x:t xml:space="preserve">night</x:t>
        </x:is>
      </x:c>
      <x:c r="F67" s="11" t="n">
        <x:v>6</x:v>
      </x:c>
      <x:c r="G67" s="11" t="n">
        <x:v>3</x:v>
      </x:c>
      <x:c r="H67" s="12" t="n">
        <x:f>F67*G67</x:f>
        <x:v>18</x:v>
      </x:c>
      <x:c r="I67" s="11" t="n">
        <x:v>93</x:v>
      </x:c>
      <x:c r="J67" s="11" t="n">
        <x:v>1.2</x:v>
      </x:c>
      <x:c r="K67" s="12" t="n">
        <x:f>ROUND((45+H67*8)*J67,0)</x:f>
        <x:v>227</x:v>
      </x:c>
      <x:c r="L67" s="12" t="n">
        <x:f>ROUND(K67*(IF(H67&lt;=10,0.9*H67+0.05*H67*(H67+1),14.5+1.9*(H67-10)))-0.4*IF(H67&lt;=10,0.45*H67*(H67-1)+H67*(H67^2-1)/30,0.95*H67*(H67-1)-12),2)</x:f>
        <x:v>6630.42</x:v>
      </x:c>
      <x:c r="M67" s="12" t="n">
        <x:f>FLOOR(L67*0.55,0.1)</x:f>
        <x:v>3646.7000000000003</x:v>
      </x:c>
      <x:c r="N67" s="12" t="n">
        <x:f>FLOOR(L67*0.75,0.1)</x:f>
        <x:v>4972.8</x:v>
      </x:c>
    </x:row>
    <x:row r="68">
      <x:c r="B68" s="13" t="n">
        <x:v>64</x:v>
      </x:c>
      <x:c r="C68" s="13" t="n">
        <x:v>7</x:v>
      </x:c>
      <x:c r="D68" s="13" t="inlineStr">
        <x:is>
          <x:t xml:space="preserve">nature</x:t>
        </x:is>
      </x:c>
      <x:c r="E68" s="13" t="inlineStr">
        <x:is>
          <x:t xml:space="preserve">standard</x:t>
        </x:is>
      </x:c>
      <x:c r="F68" s="13" t="n">
        <x:v>6</x:v>
      </x:c>
      <x:c r="G68" s="13" t="n">
        <x:v>3</x:v>
      </x:c>
      <x:c r="H68" s="14" t="n">
        <x:f>F68*G68</x:f>
        <x:v>18</x:v>
      </x:c>
      <x:c r="I68" s="13" t="n">
        <x:v>94</x:v>
      </x:c>
      <x:c r="J68" s="13" t="n">
        <x:v>1</x:v>
      </x:c>
      <x:c r="K68" s="14" t="n">
        <x:f>ROUND((45+H68*8)*J68,0)</x:f>
        <x:v>189</x:v>
      </x:c>
      <x:c r="L68" s="14" t="n">
        <x:f>ROUND(K68*(IF(H68&lt;=10,0.9*H68+0.05*H68*(H68+1),14.5+1.9*(H68-10)))-0.4*IF(H68&lt;=10,0.45*H68*(H68-1)+H68*(H68^2-1)/30,0.95*H68*(H68-1)-12),2)</x:f>
        <x:v>5501.82</x:v>
      </x:c>
      <x:c r="M68" s="14" t="n">
        <x:f>FLOOR(L68*0.55,0.1)</x:f>
        <x:v>3026</x:v>
      </x:c>
      <x:c r="N68" s="14" t="n">
        <x:f>FLOOR(L68*0.75,0.1)</x:f>
        <x:v>4126.3</x:v>
      </x:c>
      <x:c r="O68" s="15" t="n"/>
    </x:row>
    <x:row r="69">
      <x:c r="B69" s="11" t="n">
        <x:v>65</x:v>
      </x:c>
      <x:c r="C69" s="11" t="n">
        <x:v>7</x:v>
      </x:c>
      <x:c r="D69" s="11" t="inlineStr">
        <x:is>
          <x:t xml:space="preserve">travel</x:t>
        </x:is>
      </x:c>
      <x:c r="E69" s="11" t="inlineStr">
        <x:is>
          <x:t xml:space="preserve">cluster</x:t>
        </x:is>
      </x:c>
      <x:c r="F69" s="11" t="n">
        <x:v>1</x:v>
      </x:c>
      <x:c r="G69" s="11" t="n">
        <x:v>7</x:v>
      </x:c>
      <x:c r="H69" s="12" t="n">
        <x:f>F69*G69</x:f>
        <x:v>7</x:v>
      </x:c>
      <x:c r="I69" s="11" t="n">
        <x:v>94</x:v>
      </x:c>
      <x:c r="J69" s="11" t="n">
        <x:v>1.1</x:v>
      </x:c>
      <x:c r="K69" s="12" t="n">
        <x:f>ROUND((45+H69*8)*J69,0)</x:f>
        <x:v>111</x:v>
      </x:c>
      <x:c r="L69" s="12" t="n">
        <x:f>ROUND(K69*(IF(H69&lt;=10,0.9*H69+0.05*H69*(H69+1),14.5+1.9*(H69-10)))-0.4*IF(H69&lt;=10,0.45*H69*(H69-1)+H69*(H69^2-1)/30,0.95*H69*(H69-1)-12),2)</x:f>
        <x:v>998.06</x:v>
      </x:c>
      <x:c r="M69" s="12" t="n">
        <x:f>FLOOR(L69*0.55,0.1)</x:f>
        <x:v>548.9</x:v>
      </x:c>
      <x:c r="N69" s="12" t="n">
        <x:f>FLOOR(L69*0.75,0.1)</x:f>
        <x:v>748.5</x:v>
      </x:c>
    </x:row>
    <x:row r="70">
      <x:c r="B70" s="13" t="n">
        <x:v>66</x:v>
      </x:c>
      <x:c r="C70" s="13" t="n">
        <x:v>7</x:v>
      </x:c>
      <x:c r="D70" s="13" t="inlineStr">
        <x:is>
          <x:t xml:space="preserve">kitchen</x:t>
        </x:is>
      </x:c>
      <x:c r="E70" s="13" t="inlineStr">
        <x:is>
          <x:t xml:space="preserve">speed</x:t>
        </x:is>
      </x:c>
      <x:c r="F70" s="13" t="n">
        <x:v>2</x:v>
      </x:c>
      <x:c r="G70" s="13" t="n">
        <x:v>1</x:v>
      </x:c>
      <x:c r="H70" s="14" t="n">
        <x:f>F70*G70</x:f>
        <x:v>2</x:v>
      </x:c>
      <x:c r="I70" s="13" t="n">
        <x:v>95</x:v>
      </x:c>
      <x:c r="J70" s="13" t="n">
        <x:v>0.5</x:v>
      </x:c>
      <x:c r="K70" s="14" t="n">
        <x:f>ROUND((45+H70*8)*J70,0)</x:f>
        <x:v>31</x:v>
      </x:c>
      <x:c r="L70" s="14" t="n">
        <x:f>ROUND(K70*(IF(H70&lt;=10,0.9*H70+0.05*H70*(H70+1),14.5+1.9*(H70-10)))-0.4*IF(H70&lt;=10,0.45*H70*(H70-1)+H70*(H70^2-1)/30,0.95*H70*(H70-1)-12),2)</x:f>
        <x:v>64.66</x:v>
      </x:c>
      <x:c r="M70" s="14" t="n">
        <x:f>FLOOR(L70*0.55,0.1)</x:f>
        <x:v>35.5</x:v>
      </x:c>
      <x:c r="N70" s="14" t="n">
        <x:f>FLOOR(L70*0.75,0.1)</x:f>
        <x:v>48.400000000000006</x:v>
      </x:c>
      <x:c r="O70" s="15" t="n"/>
    </x:row>
    <x:row r="71">
      <x:c r="B71" s="11" t="n">
        <x:v>67</x:v>
      </x:c>
      <x:c r="C71" s="11" t="n">
        <x:v>7</x:v>
      </x:c>
      <x:c r="D71" s="11" t="inlineStr">
        <x:is>
          <x:t xml:space="preserve">space</x:t>
        </x:is>
      </x:c>
      <x:c r="E71" s="11" t="inlineStr">
        <x:is>
          <x:t xml:space="preserve">night</x:t>
        </x:is>
      </x:c>
      <x:c r="F71" s="11" t="n">
        <x:v>6</x:v>
      </x:c>
      <x:c r="G71" s="11" t="n">
        <x:v>3</x:v>
      </x:c>
      <x:c r="H71" s="12" t="n">
        <x:f>F71*G71</x:f>
        <x:v>18</x:v>
      </x:c>
      <x:c r="I71" s="11" t="n">
        <x:v>95</x:v>
      </x:c>
      <x:c r="J71" s="11" t="n">
        <x:v>1.2</x:v>
      </x:c>
      <x:c r="K71" s="12" t="n">
        <x:f>ROUND((45+H71*8)*J71,0)</x:f>
        <x:v>227</x:v>
      </x:c>
      <x:c r="L71" s="12" t="n">
        <x:f>ROUND(K71*(IF(H71&lt;=10,0.9*H71+0.05*H71*(H71+1),14.5+1.9*(H71-10)))-0.4*IF(H71&lt;=10,0.45*H71*(H71-1)+H71*(H71^2-1)/30,0.95*H71*(H71-1)-12),2)</x:f>
        <x:v>6630.42</x:v>
      </x:c>
      <x:c r="M71" s="12" t="n">
        <x:f>FLOOR(L71*0.55,0.1)</x:f>
        <x:v>3646.7000000000003</x:v>
      </x:c>
      <x:c r="N71" s="12" t="n">
        <x:f>FLOOR(L71*0.75,0.1)</x:f>
        <x:v>4972.8</x:v>
      </x:c>
    </x:row>
    <x:row r="72">
      <x:c r="B72" s="13" t="n">
        <x:v>68</x:v>
      </x:c>
      <x:c r="C72" s="13" t="n">
        <x:v>7</x:v>
      </x:c>
      <x:c r="D72" s="13" t="inlineStr">
        <x:is>
          <x:t xml:space="preserve">toys</x:t>
        </x:is>
      </x:c>
      <x:c r="E72" s="13" t="inlineStr">
        <x:is>
          <x:t xml:space="preserve">mist</x:t>
        </x:is>
      </x:c>
      <x:c r="F72" s="13" t="n">
        <x:v>6</x:v>
      </x:c>
      <x:c r="G72" s="13" t="n">
        <x:v>3</x:v>
      </x:c>
      <x:c r="H72" s="14" t="n">
        <x:f>F72*G72</x:f>
        <x:v>18</x:v>
      </x:c>
      <x:c r="I72" s="13" t="n">
        <x:v>96</x:v>
      </x:c>
      <x:c r="J72" s="13" t="n">
        <x:v>1.15</x:v>
      </x:c>
      <x:c r="K72" s="14" t="n">
        <x:f>ROUND((45+H72*8)*J72,0)</x:f>
        <x:v>217</x:v>
      </x:c>
      <x:c r="L72" s="14" t="n">
        <x:f>ROUND(K72*(IF(H72&lt;=10,0.9*H72+0.05*H72*(H72+1),14.5+1.9*(H72-10)))-0.4*IF(H72&lt;=10,0.45*H72*(H72-1)+H72*(H72^2-1)/30,0.95*H72*(H72-1)-12),2)</x:f>
        <x:v>6333.42</x:v>
      </x:c>
      <x:c r="M72" s="14" t="n">
        <x:f>FLOOR(L72*0.55,0.1)</x:f>
        <x:v>3483.3</x:v>
      </x:c>
      <x:c r="N72" s="14" t="n">
        <x:f>FLOOR(L72*0.75,0.1)</x:f>
        <x:v>4750</x:v>
      </x:c>
      <x:c r="O72" s="15" t="n"/>
    </x:row>
    <x:row r="73">
      <x:c r="B73" s="11" t="n">
        <x:v>69</x:v>
      </x:c>
      <x:c r="C73" s="11" t="n">
        <x:v>7</x:v>
      </x:c>
      <x:c r="D73" s="11" t="inlineStr">
        <x:is>
          <x:t xml:space="preserve">nature</x:t>
        </x:is>
      </x:c>
      <x:c r="E73" s="11" t="inlineStr">
        <x:is>
          <x:t xml:space="preserve">standard</x:t>
        </x:is>
      </x:c>
      <x:c r="F73" s="11" t="n">
        <x:v>6</x:v>
      </x:c>
      <x:c r="G73" s="11" t="n">
        <x:v>3</x:v>
      </x:c>
      <x:c r="H73" s="12" t="n">
        <x:f>F73*G73</x:f>
        <x:v>18</x:v>
      </x:c>
      <x:c r="I73" s="11" t="n">
        <x:v>96</x:v>
      </x:c>
      <x:c r="J73" s="11" t="n">
        <x:v>1</x:v>
      </x:c>
      <x:c r="K73" s="12" t="n">
        <x:f>ROUND((45+H73*8)*J73,0)</x:f>
        <x:v>189</x:v>
      </x:c>
      <x:c r="L73" s="12" t="n">
        <x:f>ROUND(K73*(IF(H73&lt;=10,0.9*H73+0.05*H73*(H73+1),14.5+1.9*(H73-10)))-0.4*IF(H73&lt;=10,0.45*H73*(H73-1)+H73*(H73^2-1)/30,0.95*H73*(H73-1)-12),2)</x:f>
        <x:v>5501.82</x:v>
      </x:c>
      <x:c r="M73" s="12" t="n">
        <x:f>FLOOR(L73*0.55,0.1)</x:f>
        <x:v>3026</x:v>
      </x:c>
      <x:c r="N73" s="12" t="n">
        <x:f>FLOOR(L73*0.75,0.1)</x:f>
        <x:v>4126.3</x:v>
      </x:c>
    </x:row>
    <x:row r="74">
      <x:c r="B74" s="16" t="n">
        <x:v>70</x:v>
      </x:c>
      <x:c r="C74" s="16" t="n">
        <x:v>7</x:v>
      </x:c>
      <x:c r="D74" s="16" t="inlineStr">
        <x:is>
          <x:t xml:space="preserve">travel</x:t>
        </x:is>
      </x:c>
      <x:c r="E74" s="16" t="inlineStr">
        <x:is>
          <x:t xml:space="preserve">boss</x:t>
        </x:is>
      </x:c>
      <x:c r="F74" s="16" t="n">
        <x:v>12</x:v>
      </x:c>
      <x:c r="G74" s="16" t="n">
        <x:v>3</x:v>
      </x:c>
      <x:c r="H74" s="17" t="n">
        <x:f>F74*G74</x:f>
        <x:v>36</x:v>
      </x:c>
      <x:c r="I74" s="16" t="n">
        <x:v>112</x:v>
      </x:c>
      <x:c r="J74" s="16" t="n">
        <x:v>0.9</x:v>
      </x:c>
      <x:c r="K74" s="17" t="n">
        <x:f>ROUND((45+H74*8)*J74,0)</x:f>
        <x:v>300</x:v>
      </x:c>
      <x:c r="L74" s="17" t="n">
        <x:f>ROUND(K74*(IF(H74&lt;=10,0.9*H74+0.05*H74*(H74+1),14.5+1.9*(H74-10)))-0.4*IF(H74&lt;=10,0.45*H74*(H74-1)+H74*(H74^2-1)/30,0.95*H74*(H74-1)-12),2)</x:f>
        <x:v>18696</x:v>
      </x:c>
      <x:c r="M74" s="17" t="n">
        <x:f>FLOOR(L74*0.55,0.1)</x:f>
        <x:v>10282.800000000001</x:v>
      </x:c>
      <x:c r="N74" s="17" t="n">
        <x:f>FLOOR(L74*0.75,0.1)</x:f>
        <x:v>14022</x:v>
      </x:c>
      <x:c r="O74" s="18" t="n"/>
    </x:row>
    <x:row r="75">
      <x:c r="B75" s="11" t="n">
        <x:v>71</x:v>
      </x:c>
      <x:c r="C75" s="11" t="n">
        <x:v>8</x:v>
      </x:c>
      <x:c r="D75" s="11" t="inlineStr">
        <x:is>
          <x:t xml:space="preserve">kitchen</x:t>
        </x:is>
      </x:c>
      <x:c r="E75" s="11" t="inlineStr">
        <x:is>
          <x:t xml:space="preserve">standard</x:t>
        </x:is>
      </x:c>
      <x:c r="F75" s="11" t="n">
        <x:v>6</x:v>
      </x:c>
      <x:c r="G75" s="11" t="n">
        <x:v>3</x:v>
      </x:c>
      <x:c r="H75" s="12" t="n">
        <x:f>F75*G75</x:f>
        <x:v>18</x:v>
      </x:c>
      <x:c r="I75" s="11" t="n">
        <x:v>97</x:v>
      </x:c>
      <x:c r="J75" s="11" t="n">
        <x:v>1</x:v>
      </x:c>
      <x:c r="K75" s="12" t="n">
        <x:f>ROUND((45+H75*8)*J75,0)</x:f>
        <x:v>189</x:v>
      </x:c>
      <x:c r="L75" s="12" t="n">
        <x:f>ROUND(K75*(IF(H75&lt;=10,0.9*H75+0.05*H75*(H75+1),14.5+1.9*(H75-10)))-0.4*IF(H75&lt;=10,0.45*H75*(H75-1)+H75*(H75^2-1)/30,0.95*H75*(H75-1)-12),2)</x:f>
        <x:v>5501.82</x:v>
      </x:c>
      <x:c r="M75" s="12" t="n">
        <x:f>FLOOR(L75*0.55,0.1)</x:f>
        <x:v>3026</x:v>
      </x:c>
      <x:c r="N75" s="12" t="n">
        <x:f>FLOOR(L75*0.75,0.1)</x:f>
        <x:v>4126.3</x:v>
      </x:c>
    </x:row>
    <x:row r="76">
      <x:c r="B76" s="13" t="n">
        <x:v>72</x:v>
      </x:c>
      <x:c r="C76" s="13" t="n">
        <x:v>8</x:v>
      </x:c>
      <x:c r="D76" s="13" t="inlineStr">
        <x:is>
          <x:t xml:space="preserve">toys</x:t>
        </x:is>
      </x:c>
      <x:c r="E76" s="13" t="inlineStr">
        <x:is>
          <x:t xml:space="preserve">mist</x:t>
        </x:is>
      </x:c>
      <x:c r="F76" s="13" t="n">
        <x:v>6</x:v>
      </x:c>
      <x:c r="G76" s="13" t="n">
        <x:v>3</x:v>
      </x:c>
      <x:c r="H76" s="14" t="n">
        <x:f>F76*G76</x:f>
        <x:v>18</x:v>
      </x:c>
      <x:c r="I76" s="13" t="n">
        <x:v>98</x:v>
      </x:c>
      <x:c r="J76" s="13" t="n">
        <x:v>1.15</x:v>
      </x:c>
      <x:c r="K76" s="14" t="n">
        <x:f>ROUND((45+H76*8)*J76,0)</x:f>
        <x:v>217</x:v>
      </x:c>
      <x:c r="L76" s="14" t="n">
        <x:f>ROUND(K76*(IF(H76&lt;=10,0.9*H76+0.05*H76*(H76+1),14.5+1.9*(H76-10)))-0.4*IF(H76&lt;=10,0.45*H76*(H76-1)+H76*(H76^2-1)/30,0.95*H76*(H76-1)-12),2)</x:f>
        <x:v>6333.42</x:v>
      </x:c>
      <x:c r="M76" s="14" t="n">
        <x:f>FLOOR(L76*0.55,0.1)</x:f>
        <x:v>3483.3</x:v>
      </x:c>
      <x:c r="N76" s="14" t="n">
        <x:f>FLOOR(L76*0.75,0.1)</x:f>
        <x:v>4750</x:v>
      </x:c>
      <x:c r="O76" s="15" t="n"/>
    </x:row>
    <x:row r="77">
      <x:c r="B77" s="11" t="n">
        <x:v>73</x:v>
      </x:c>
      <x:c r="C77" s="11" t="n">
        <x:v>8</x:v>
      </x:c>
      <x:c r="D77" s="11" t="inlineStr">
        <x:is>
          <x:t xml:space="preserve">ocean</x:t>
        </x:is>
      </x:c>
      <x:c r="E77" s="11" t="inlineStr">
        <x:is>
          <x:t xml:space="preserve">night</x:t>
        </x:is>
      </x:c>
      <x:c r="F77" s="11" t="n">
        <x:v>6</x:v>
      </x:c>
      <x:c r="G77" s="11" t="n">
        <x:v>3</x:v>
      </x:c>
      <x:c r="H77" s="12" t="n">
        <x:f>F77*G77</x:f>
        <x:v>18</x:v>
      </x:c>
      <x:c r="I77" s="11" t="n">
        <x:v>98</x:v>
      </x:c>
      <x:c r="J77" s="11" t="n">
        <x:v>1.2</x:v>
      </x:c>
      <x:c r="K77" s="12" t="n">
        <x:f>ROUND((45+H77*8)*J77,0)</x:f>
        <x:v>227</x:v>
      </x:c>
      <x:c r="L77" s="12" t="n">
        <x:f>ROUND(K77*(IF(H77&lt;=10,0.9*H77+0.05*H77*(H77+1),14.5+1.9*(H77-10)))-0.4*IF(H77&lt;=10,0.45*H77*(H77-1)+H77*(H77^2-1)/30,0.95*H77*(H77-1)-12),2)</x:f>
        <x:v>6630.42</x:v>
      </x:c>
      <x:c r="M77" s="12" t="n">
        <x:f>FLOOR(L77*0.55,0.1)</x:f>
        <x:v>3646.7000000000003</x:v>
      </x:c>
      <x:c r="N77" s="12" t="n">
        <x:f>FLOOR(L77*0.75,0.1)</x:f>
        <x:v>4972.8</x:v>
      </x:c>
    </x:row>
    <x:row r="78">
      <x:c r="B78" s="13" t="n">
        <x:v>74</x:v>
      </x:c>
      <x:c r="C78" s="13" t="n">
        <x:v>8</x:v>
      </x:c>
      <x:c r="D78" s="13" t="inlineStr">
        <x:is>
          <x:t xml:space="preserve">nature</x:t>
        </x:is>
      </x:c>
      <x:c r="E78" s="13" t="inlineStr">
        <x:is>
          <x:t xml:space="preserve">standard</x:t>
        </x:is>
      </x:c>
      <x:c r="F78" s="13" t="n">
        <x:v>6</x:v>
      </x:c>
      <x:c r="G78" s="13" t="n">
        <x:v>3</x:v>
      </x:c>
      <x:c r="H78" s="14" t="n">
        <x:f>F78*G78</x:f>
        <x:v>18</x:v>
      </x:c>
      <x:c r="I78" s="13" t="n">
        <x:v>99</x:v>
      </x:c>
      <x:c r="J78" s="13" t="n">
        <x:v>1</x:v>
      </x:c>
      <x:c r="K78" s="14" t="n">
        <x:f>ROUND((45+H78*8)*J78,0)</x:f>
        <x:v>189</x:v>
      </x:c>
      <x:c r="L78" s="14" t="n">
        <x:f>ROUND(K78*(IF(H78&lt;=10,0.9*H78+0.05*H78*(H78+1),14.5+1.9*(H78-10)))-0.4*IF(H78&lt;=10,0.45*H78*(H78-1)+H78*(H78^2-1)/30,0.95*H78*(H78-1)-12),2)</x:f>
        <x:v>5501.82</x:v>
      </x:c>
      <x:c r="M78" s="14" t="n">
        <x:f>FLOOR(L78*0.55,0.1)</x:f>
        <x:v>3026</x:v>
      </x:c>
      <x:c r="N78" s="14" t="n">
        <x:f>FLOOR(L78*0.75,0.1)</x:f>
        <x:v>4126.3</x:v>
      </x:c>
      <x:c r="O78" s="15" t="n"/>
    </x:row>
    <x:row r="79">
      <x:c r="B79" s="11" t="n">
        <x:v>75</x:v>
      </x:c>
      <x:c r="C79" s="11" t="n">
        <x:v>8</x:v>
      </x:c>
      <x:c r="D79" s="11" t="inlineStr">
        <x:is>
          <x:t xml:space="preserve">travel</x:t>
        </x:is>
      </x:c>
      <x:c r="E79" s="11" t="inlineStr">
        <x:is>
          <x:t xml:space="preserve">cluster</x:t>
        </x:is>
      </x:c>
      <x:c r="F79" s="11" t="n">
        <x:v>2</x:v>
      </x:c>
      <x:c r="G79" s="11" t="n">
        <x:v>8</x:v>
      </x:c>
      <x:c r="H79" s="12" t="n">
        <x:f>F79*G79</x:f>
        <x:v>16</x:v>
      </x:c>
      <x:c r="I79" s="11" t="n">
        <x:v>99</x:v>
      </x:c>
      <x:c r="J79" s="11" t="n">
        <x:v>1.1</x:v>
      </x:c>
      <x:c r="K79" s="12" t="n">
        <x:f>ROUND((45+H79*8)*J79,0)</x:f>
        <x:v>190</x:v>
      </x:c>
      <x:c r="L79" s="12" t="n">
        <x:f>ROUND(K79*(IF(H79&lt;=10,0.9*H79+0.05*H79*(H79+1),14.5+1.9*(H79-10)))-0.4*IF(H79&lt;=10,0.45*H79*(H79-1)+H79*(H79^2-1)/30,0.95*H79*(H79-1)-12),2)</x:f>
        <x:v>4834.6</x:v>
      </x:c>
      <x:c r="M79" s="12" t="n">
        <x:f>FLOOR(L79*0.55,0.1)</x:f>
        <x:v>2659</x:v>
      </x:c>
      <x:c r="N79" s="12" t="n">
        <x:f>FLOOR(L79*0.75,0.1)</x:f>
        <x:v>3625.9</x:v>
      </x:c>
    </x:row>
    <x:row r="80">
      <x:c r="B80" s="13" t="n">
        <x:v>76</x:v>
      </x:c>
      <x:c r="C80" s="13" t="n">
        <x:v>8</x:v>
      </x:c>
      <x:c r="D80" s="13" t="inlineStr">
        <x:is>
          <x:t xml:space="preserve">ocean</x:t>
        </x:is>
      </x:c>
      <x:c r="E80" s="13" t="inlineStr">
        <x:is>
          <x:t xml:space="preserve">speed</x:t>
        </x:is>
      </x:c>
      <x:c r="F80" s="13" t="n">
        <x:v>2</x:v>
      </x:c>
      <x:c r="G80" s="13" t="n">
        <x:v>1</x:v>
      </x:c>
      <x:c r="H80" s="14" t="n">
        <x:f>F80*G80</x:f>
        <x:v>2</x:v>
      </x:c>
      <x:c r="I80" s="13" t="n">
        <x:v>100</x:v>
      </x:c>
      <x:c r="J80" s="13" t="n">
        <x:v>0.5</x:v>
      </x:c>
      <x:c r="K80" s="14" t="n">
        <x:f>ROUND((45+H80*8)*J80,0)</x:f>
        <x:v>31</x:v>
      </x:c>
      <x:c r="L80" s="14" t="n">
        <x:f>ROUND(K80*(IF(H80&lt;=10,0.9*H80+0.05*H80*(H80+1),14.5+1.9*(H80-10)))-0.4*IF(H80&lt;=10,0.45*H80*(H80-1)+H80*(H80^2-1)/30,0.95*H80*(H80-1)-12),2)</x:f>
        <x:v>64.66</x:v>
      </x:c>
      <x:c r="M80" s="14" t="n">
        <x:f>FLOOR(L80*0.55,0.1)</x:f>
        <x:v>35.5</x:v>
      </x:c>
      <x:c r="N80" s="14" t="n">
        <x:f>FLOOR(L80*0.75,0.1)</x:f>
        <x:v>48.400000000000006</x:v>
      </x:c>
      <x:c r="O80" s="15" t="n"/>
    </x:row>
    <x:row r="81">
      <x:c r="B81" s="11" t="n">
        <x:v>77</x:v>
      </x:c>
      <x:c r="C81" s="11" t="n">
        <x:v>8</x:v>
      </x:c>
      <x:c r="D81" s="11" t="inlineStr">
        <x:is>
          <x:t xml:space="preserve">space</x:t>
        </x:is>
      </x:c>
      <x:c r="E81" s="11" t="inlineStr">
        <x:is>
          <x:t xml:space="preserve">night</x:t>
        </x:is>
      </x:c>
      <x:c r="F81" s="11" t="n">
        <x:v>6</x:v>
      </x:c>
      <x:c r="G81" s="11" t="n">
        <x:v>3</x:v>
      </x:c>
      <x:c r="H81" s="12" t="n">
        <x:f>F81*G81</x:f>
        <x:v>18</x:v>
      </x:c>
      <x:c r="I81" s="11" t="n">
        <x:v>100</x:v>
      </x:c>
      <x:c r="J81" s="11" t="n">
        <x:v>1.2</x:v>
      </x:c>
      <x:c r="K81" s="12" t="n">
        <x:f>ROUND((45+H81*8)*J81,0)</x:f>
        <x:v>227</x:v>
      </x:c>
      <x:c r="L81" s="12" t="n">
        <x:f>ROUND(K81*(IF(H81&lt;=10,0.9*H81+0.05*H81*(H81+1),14.5+1.9*(H81-10)))-0.4*IF(H81&lt;=10,0.45*H81*(H81-1)+H81*(H81^2-1)/30,0.95*H81*(H81-1)-12),2)</x:f>
        <x:v>6630.42</x:v>
      </x:c>
      <x:c r="M81" s="12" t="n">
        <x:f>FLOOR(L81*0.55,0.1)</x:f>
        <x:v>3646.7000000000003</x:v>
      </x:c>
      <x:c r="N81" s="12" t="n">
        <x:f>FLOOR(L81*0.75,0.1)</x:f>
        <x:v>4972.8</x:v>
      </x:c>
    </x:row>
    <x:row r="82">
      <x:c r="B82" s="13" t="n">
        <x:v>78</x:v>
      </x:c>
      <x:c r="C82" s="13" t="n">
        <x:v>8</x:v>
      </x:c>
      <x:c r="D82" s="13" t="inlineStr">
        <x:is>
          <x:t xml:space="preserve">kitchen</x:t>
        </x:is>
      </x:c>
      <x:c r="E82" s="13" t="inlineStr">
        <x:is>
          <x:t xml:space="preserve">mist</x:t>
        </x:is>
      </x:c>
      <x:c r="F82" s="13" t="n">
        <x:v>6</x:v>
      </x:c>
      <x:c r="G82" s="13" t="n">
        <x:v>3</x:v>
      </x:c>
      <x:c r="H82" s="14" t="n">
        <x:f>F82*G82</x:f>
        <x:v>18</x:v>
      </x:c>
      <x:c r="I82" s="13" t="n">
        <x:v>101</x:v>
      </x:c>
      <x:c r="J82" s="13" t="n">
        <x:v>1.15</x:v>
      </x:c>
      <x:c r="K82" s="14" t="n">
        <x:f>ROUND((45+H82*8)*J82,0)</x:f>
        <x:v>217</x:v>
      </x:c>
      <x:c r="L82" s="14" t="n">
        <x:f>ROUND(K82*(IF(H82&lt;=10,0.9*H82+0.05*H82*(H82+1),14.5+1.9*(H82-10)))-0.4*IF(H82&lt;=10,0.45*H82*(H82-1)+H82*(H82^2-1)/30,0.95*H82*(H82-1)-12),2)</x:f>
        <x:v>6333.42</x:v>
      </x:c>
      <x:c r="M82" s="14" t="n">
        <x:f>FLOOR(L82*0.55,0.1)</x:f>
        <x:v>3483.3</x:v>
      </x:c>
      <x:c r="N82" s="14" t="n">
        <x:f>FLOOR(L82*0.75,0.1)</x:f>
        <x:v>4750</x:v>
      </x:c>
      <x:c r="O82" s="15" t="n"/>
    </x:row>
    <x:row r="83">
      <x:c r="B83" s="11" t="n">
        <x:v>79</x:v>
      </x:c>
      <x:c r="C83" s="11" t="n">
        <x:v>8</x:v>
      </x:c>
      <x:c r="D83" s="11" t="inlineStr">
        <x:is>
          <x:t xml:space="preserve">toys</x:t>
        </x:is>
      </x:c>
      <x:c r="E83" s="11" t="inlineStr">
        <x:is>
          <x:t xml:space="preserve">standard</x:t>
        </x:is>
      </x:c>
      <x:c r="F83" s="11" t="n">
        <x:v>6</x:v>
      </x:c>
      <x:c r="G83" s="11" t="n">
        <x:v>3</x:v>
      </x:c>
      <x:c r="H83" s="12" t="n">
        <x:f>F83*G83</x:f>
        <x:v>18</x:v>
      </x:c>
      <x:c r="I83" s="11" t="n">
        <x:v>101</x:v>
      </x:c>
      <x:c r="J83" s="11" t="n">
        <x:v>1</x:v>
      </x:c>
      <x:c r="K83" s="12" t="n">
        <x:f>ROUND((45+H83*8)*J83,0)</x:f>
        <x:v>189</x:v>
      </x:c>
      <x:c r="L83" s="12" t="n">
        <x:f>ROUND(K83*(IF(H83&lt;=10,0.9*H83+0.05*H83*(H83+1),14.5+1.9*(H83-10)))-0.4*IF(H83&lt;=10,0.45*H83*(H83-1)+H83*(H83^2-1)/30,0.95*H83*(H83-1)-12),2)</x:f>
        <x:v>5501.82</x:v>
      </x:c>
      <x:c r="M83" s="12" t="n">
        <x:f>FLOOR(L83*0.55,0.1)</x:f>
        <x:v>3026</x:v>
      </x:c>
      <x:c r="N83" s="12" t="n">
        <x:f>FLOOR(L83*0.75,0.1)</x:f>
        <x:v>4126.3</x:v>
      </x:c>
    </x:row>
    <x:row r="84">
      <x:c r="B84" s="16" t="n">
        <x:v>80</x:v>
      </x:c>
      <x:c r="C84" s="16" t="n">
        <x:v>8</x:v>
      </x:c>
      <x:c r="D84" s="16" t="inlineStr">
        <x:is>
          <x:t xml:space="preserve">nature</x:t>
        </x:is>
      </x:c>
      <x:c r="E84" s="16" t="inlineStr">
        <x:is>
          <x:t xml:space="preserve">boss</x:t>
        </x:is>
      </x:c>
      <x:c r="F84" s="16" t="n">
        <x:v>12</x:v>
      </x:c>
      <x:c r="G84" s="16" t="n">
        <x:v>3</x:v>
      </x:c>
      <x:c r="H84" s="17" t="n">
        <x:f>F84*G84</x:f>
        <x:v>36</x:v>
      </x:c>
      <x:c r="I84" s="16" t="n">
        <x:v>116</x:v>
      </x:c>
      <x:c r="J84" s="16" t="n">
        <x:v>0.9</x:v>
      </x:c>
      <x:c r="K84" s="17" t="n">
        <x:f>ROUND((45+H84*8)*J84,0)</x:f>
        <x:v>300</x:v>
      </x:c>
      <x:c r="L84" s="17" t="n">
        <x:f>ROUND(K84*(IF(H84&lt;=10,0.9*H84+0.05*H84*(H84+1),14.5+1.9*(H84-10)))-0.4*IF(H84&lt;=10,0.45*H84*(H84-1)+H84*(H84^2-1)/30,0.95*H84*(H84-1)-12),2)</x:f>
        <x:v>18696</x:v>
      </x:c>
      <x:c r="M84" s="17" t="n">
        <x:f>FLOOR(L84*0.55,0.1)</x:f>
        <x:v>10282.800000000001</x:v>
      </x:c>
      <x:c r="N84" s="17" t="n">
        <x:f>FLOOR(L84*0.75,0.1)</x:f>
        <x:v>14022</x:v>
      </x:c>
      <x:c r="O84" s="18" t="n"/>
    </x:row>
    <x:row r="85">
      <x:c r="B85" s="11" t="n">
        <x:v>81</x:v>
      </x:c>
      <x:c r="C85" s="11" t="n">
        <x:v>9</x:v>
      </x:c>
      <x:c r="D85" s="11" t="inlineStr">
        <x:is>
          <x:t xml:space="preserve">travel</x:t>
        </x:is>
      </x:c>
      <x:c r="E85" s="11" t="inlineStr">
        <x:is>
          <x:t xml:space="preserve">standard</x:t>
        </x:is>
      </x:c>
      <x:c r="F85" s="11" t="n">
        <x:v>6</x:v>
      </x:c>
      <x:c r="G85" s="11" t="n">
        <x:v>3</x:v>
      </x:c>
      <x:c r="H85" s="12" t="n">
        <x:f>F85*G85</x:f>
        <x:v>18</x:v>
      </x:c>
      <x:c r="I85" s="11" t="n">
        <x:v>102</x:v>
      </x:c>
      <x:c r="J85" s="11" t="n">
        <x:v>1</x:v>
      </x:c>
      <x:c r="K85" s="12" t="n">
        <x:f>ROUND((45+H85*8)*J85,0)</x:f>
        <x:v>189</x:v>
      </x:c>
      <x:c r="L85" s="12" t="n">
        <x:f>ROUND(K85*(IF(H85&lt;=10,0.9*H85+0.05*H85*(H85+1),14.5+1.9*(H85-10)))-0.4*IF(H85&lt;=10,0.45*H85*(H85-1)+H85*(H85^2-1)/30,0.95*H85*(H85-1)-12),2)</x:f>
        <x:v>5501.82</x:v>
      </x:c>
      <x:c r="M85" s="12" t="n">
        <x:f>FLOOR(L85*0.55,0.1)</x:f>
        <x:v>3026</x:v>
      </x:c>
      <x:c r="N85" s="12" t="n">
        <x:f>FLOOR(L85*0.75,0.1)</x:f>
        <x:v>4126.3</x:v>
      </x:c>
      <x:c r="O85" s="11" t="n">
        <x:v>120</x:v>
      </x:c>
    </x:row>
    <x:row r="86">
      <x:c r="B86" s="13" t="n">
        <x:v>82</x:v>
      </x:c>
      <x:c r="C86" s="13" t="n">
        <x:v>9</x:v>
      </x:c>
      <x:c r="D86" s="13" t="inlineStr">
        <x:is>
          <x:t xml:space="preserve">kitchen</x:t>
        </x:is>
      </x:c>
      <x:c r="E86" s="13" t="inlineStr">
        <x:is>
          <x:t xml:space="preserve">cluster</x:t>
        </x:is>
      </x:c>
      <x:c r="F86" s="13" t="n">
        <x:v>1</x:v>
      </x:c>
      <x:c r="G86" s="13" t="n">
        <x:v>6</x:v>
      </x:c>
      <x:c r="H86" s="14" t="n">
        <x:f>F86*G86</x:f>
        <x:v>6</x:v>
      </x:c>
      <x:c r="I86" s="13" t="n">
        <x:v>102</x:v>
      </x:c>
      <x:c r="J86" s="13" t="n">
        <x:v>1.1</x:v>
      </x:c>
      <x:c r="K86" s="14" t="n">
        <x:f>ROUND((45+H86*8)*J86,0)</x:f>
        <x:v>102</x:v>
      </x:c>
      <x:c r="L86" s="14" t="n">
        <x:f>ROUND(K86*(IF(H86&lt;=10,0.9*H86+0.05*H86*(H86+1),14.5+1.9*(H86-10)))-0.4*IF(H86&lt;=10,0.45*H86*(H86-1)+H86*(H86^2-1)/30,0.95*H86*(H86-1)-12),2)</x:f>
        <x:v>756.8</x:v>
      </x:c>
      <x:c r="M86" s="14" t="n">
        <x:f>FLOOR(L86*0.55,0.1)</x:f>
        <x:v>416.20000000000005</x:v>
      </x:c>
      <x:c r="N86" s="14" t="n">
        <x:f>FLOOR(L86*0.75,0.1)</x:f>
        <x:v>567.5</x:v>
      </x:c>
      <x:c r="O86" s="15" t="n"/>
    </x:row>
    <x:row r="87">
      <x:c r="B87" s="11" t="n">
        <x:v>83</x:v>
      </x:c>
      <x:c r="C87" s="11" t="n">
        <x:v>9</x:v>
      </x:c>
      <x:c r="D87" s="11" t="inlineStr">
        <x:is>
          <x:t xml:space="preserve">ocean</x:t>
        </x:is>
      </x:c>
      <x:c r="E87" s="11" t="inlineStr">
        <x:is>
          <x:t xml:space="preserve">night</x:t>
        </x:is>
      </x:c>
      <x:c r="F87" s="11" t="n">
        <x:v>6</x:v>
      </x:c>
      <x:c r="G87" s="11" t="n">
        <x:v>3</x:v>
      </x:c>
      <x:c r="H87" s="12" t="n">
        <x:f>F87*G87</x:f>
        <x:v>18</x:v>
      </x:c>
      <x:c r="I87" s="11" t="n">
        <x:v>103</x:v>
      </x:c>
      <x:c r="J87" s="11" t="n">
        <x:v>1.2</x:v>
      </x:c>
      <x:c r="K87" s="12" t="n">
        <x:f>ROUND((45+H87*8)*J87,0)</x:f>
        <x:v>227</x:v>
      </x:c>
      <x:c r="L87" s="12" t="n">
        <x:f>ROUND(K87*(IF(H87&lt;=10,0.9*H87+0.05*H87*(H87+1),14.5+1.9*(H87-10)))-0.4*IF(H87&lt;=10,0.45*H87*(H87-1)+H87*(H87^2-1)/30,0.95*H87*(H87-1)-12),2)</x:f>
        <x:v>6630.42</x:v>
      </x:c>
      <x:c r="M87" s="12" t="n">
        <x:f>FLOOR(L87*0.55,0.1)</x:f>
        <x:v>3646.7000000000003</x:v>
      </x:c>
      <x:c r="N87" s="12" t="n">
        <x:f>FLOOR(L87*0.75,0.1)</x:f>
        <x:v>4972.8</x:v>
      </x:c>
    </x:row>
    <x:row r="88">
      <x:c r="B88" s="13" t="n">
        <x:v>84</x:v>
      </x:c>
      <x:c r="C88" s="13" t="n">
        <x:v>9</x:v>
      </x:c>
      <x:c r="D88" s="13" t="inlineStr">
        <x:is>
          <x:t xml:space="preserve">toys</x:t>
        </x:is>
      </x:c>
      <x:c r="E88" s="13" t="inlineStr">
        <x:is>
          <x:t xml:space="preserve">standard</x:t>
        </x:is>
      </x:c>
      <x:c r="F88" s="13" t="n">
        <x:v>6</x:v>
      </x:c>
      <x:c r="G88" s="13" t="n">
        <x:v>3</x:v>
      </x:c>
      <x:c r="H88" s="14" t="n">
        <x:f>F88*G88</x:f>
        <x:v>18</x:v>
      </x:c>
      <x:c r="I88" s="13" t="n">
        <x:v>103</x:v>
      </x:c>
      <x:c r="J88" s="13" t="n">
        <x:v>1</x:v>
      </x:c>
      <x:c r="K88" s="14" t="n">
        <x:f>ROUND((45+H88*8)*J88,0)</x:f>
        <x:v>189</x:v>
      </x:c>
      <x:c r="L88" s="14" t="n">
        <x:f>ROUND(K88*(IF(H88&lt;=10,0.9*H88+0.05*H88*(H88+1),14.5+1.9*(H88-10)))-0.4*IF(H88&lt;=10,0.45*H88*(H88-1)+H88*(H88^2-1)/30,0.95*H88*(H88-1)-12),2)</x:f>
        <x:v>5501.82</x:v>
      </x:c>
      <x:c r="M88" s="14" t="n">
        <x:f>FLOOR(L88*0.55,0.1)</x:f>
        <x:v>3026</x:v>
      </x:c>
      <x:c r="N88" s="14" t="n">
        <x:f>FLOOR(L88*0.75,0.1)</x:f>
        <x:v>4126.3</x:v>
      </x:c>
      <x:c r="O88" s="15" t="n"/>
    </x:row>
    <x:row r="89">
      <x:c r="B89" s="11" t="n">
        <x:v>85</x:v>
      </x:c>
      <x:c r="C89" s="11" t="n">
        <x:v>9</x:v>
      </x:c>
      <x:c r="D89" s="11" t="inlineStr">
        <x:is>
          <x:t xml:space="preserve">nature</x:t>
        </x:is>
      </x:c>
      <x:c r="E89" s="11" t="inlineStr">
        <x:is>
          <x:t xml:space="preserve">speed</x:t>
        </x:is>
      </x:c>
      <x:c r="F89" s="11" t="n">
        <x:v>2</x:v>
      </x:c>
      <x:c r="G89" s="11" t="n">
        <x:v>1</x:v>
      </x:c>
      <x:c r="H89" s="12" t="n">
        <x:f>F89*G89</x:f>
        <x:v>2</x:v>
      </x:c>
      <x:c r="I89" s="11" t="n">
        <x:v>104</x:v>
      </x:c>
      <x:c r="J89" s="11" t="n">
        <x:v>0.5</x:v>
      </x:c>
      <x:c r="K89" s="12" t="n">
        <x:f>ROUND((45+H89*8)*J89,0)</x:f>
        <x:v>31</x:v>
      </x:c>
      <x:c r="L89" s="12" t="n">
        <x:f>ROUND(K89*(IF(H89&lt;=10,0.9*H89+0.05*H89*(H89+1),14.5+1.9*(H89-10)))-0.4*IF(H89&lt;=10,0.45*H89*(H89-1)+H89*(H89^2-1)/30,0.95*H89*(H89-1)-12),2)</x:f>
        <x:v>64.66</x:v>
      </x:c>
      <x:c r="M89" s="12" t="n">
        <x:f>FLOOR(L89*0.55,0.1)</x:f>
        <x:v>35.5</x:v>
      </x:c>
      <x:c r="N89" s="12" t="n">
        <x:f>FLOOR(L89*0.75,0.1)</x:f>
        <x:v>48.400000000000006</x:v>
      </x:c>
    </x:row>
    <x:row r="90">
      <x:c r="B90" s="13" t="n">
        <x:v>86</x:v>
      </x:c>
      <x:c r="C90" s="13" t="n">
        <x:v>9</x:v>
      </x:c>
      <x:c r="D90" s="13" t="inlineStr">
        <x:is>
          <x:t xml:space="preserve">travel</x:t>
        </x:is>
      </x:c>
      <x:c r="E90" s="13" t="inlineStr">
        <x:is>
          <x:t xml:space="preserve">mist</x:t>
        </x:is>
      </x:c>
      <x:c r="F90" s="13" t="n">
        <x:v>6</x:v>
      </x:c>
      <x:c r="G90" s="13" t="n">
        <x:v>3</x:v>
      </x:c>
      <x:c r="H90" s="14" t="n">
        <x:f>F90*G90</x:f>
        <x:v>18</x:v>
      </x:c>
      <x:c r="I90" s="13" t="n">
        <x:v>104</x:v>
      </x:c>
      <x:c r="J90" s="13" t="n">
        <x:v>1.15</x:v>
      </x:c>
      <x:c r="K90" s="14" t="n">
        <x:f>ROUND((45+H90*8)*J90,0)</x:f>
        <x:v>217</x:v>
      </x:c>
      <x:c r="L90" s="14" t="n">
        <x:f>ROUND(K90*(IF(H90&lt;=10,0.9*H90+0.05*H90*(H90+1),14.5+1.9*(H90-10)))-0.4*IF(H90&lt;=10,0.45*H90*(H90-1)+H90*(H90^2-1)/30,0.95*H90*(H90-1)-12),2)</x:f>
        <x:v>6333.42</x:v>
      </x:c>
      <x:c r="M90" s="14" t="n">
        <x:f>FLOOR(L90*0.55,0.1)</x:f>
        <x:v>3483.3</x:v>
      </x:c>
      <x:c r="N90" s="14" t="n">
        <x:f>FLOOR(L90*0.75,0.1)</x:f>
        <x:v>4750</x:v>
      </x:c>
      <x:c r="O90" s="15" t="n"/>
    </x:row>
    <x:row r="91">
      <x:c r="B91" s="11" t="n">
        <x:v>87</x:v>
      </x:c>
      <x:c r="C91" s="11" t="n">
        <x:v>9</x:v>
      </x:c>
      <x:c r="D91" s="11" t="inlineStr">
        <x:is>
          <x:t xml:space="preserve">space</x:t>
        </x:is>
      </x:c>
      <x:c r="E91" s="11" t="inlineStr">
        <x:is>
          <x:t xml:space="preserve">night</x:t>
        </x:is>
      </x:c>
      <x:c r="F91" s="11" t="n">
        <x:v>6</x:v>
      </x:c>
      <x:c r="G91" s="11" t="n">
        <x:v>3</x:v>
      </x:c>
      <x:c r="H91" s="12" t="n">
        <x:f>F91*G91</x:f>
        <x:v>18</x:v>
      </x:c>
      <x:c r="I91" s="11" t="n">
        <x:v>105</x:v>
      </x:c>
      <x:c r="J91" s="11" t="n">
        <x:v>1.2</x:v>
      </x:c>
      <x:c r="K91" s="12" t="n">
        <x:f>ROUND((45+H91*8)*J91,0)</x:f>
        <x:v>227</x:v>
      </x:c>
      <x:c r="L91" s="12" t="n">
        <x:f>ROUND(K91*(IF(H91&lt;=10,0.9*H91+0.05*H91*(H91+1),14.5+1.9*(H91-10)))-0.4*IF(H91&lt;=10,0.45*H91*(H91-1)+H91*(H91^2-1)/30,0.95*H91*(H91-1)-12),2)</x:f>
        <x:v>6630.42</x:v>
      </x:c>
      <x:c r="M91" s="12" t="n">
        <x:f>FLOOR(L91*0.55,0.1)</x:f>
        <x:v>3646.7000000000003</x:v>
      </x:c>
      <x:c r="N91" s="12" t="n">
        <x:f>FLOOR(L91*0.75,0.1)</x:f>
        <x:v>4972.8</x:v>
      </x:c>
    </x:row>
    <x:row r="92">
      <x:c r="B92" s="13" t="n">
        <x:v>88</x:v>
      </x:c>
      <x:c r="C92" s="13" t="n">
        <x:v>9</x:v>
      </x:c>
      <x:c r="D92" s="13" t="inlineStr">
        <x:is>
          <x:t xml:space="preserve">space</x:t>
        </x:is>
      </x:c>
      <x:c r="E92" s="13" t="inlineStr">
        <x:is>
          <x:t xml:space="preserve">cluster</x:t>
        </x:is>
      </x:c>
      <x:c r="F92" s="13" t="n">
        <x:v>2</x:v>
      </x:c>
      <x:c r="G92" s="13" t="n">
        <x:v>7</x:v>
      </x:c>
      <x:c r="H92" s="14" t="n">
        <x:f>F92*G92</x:f>
        <x:v>14</x:v>
      </x:c>
      <x:c r="I92" s="13" t="n">
        <x:v>105</x:v>
      </x:c>
      <x:c r="J92" s="13" t="n">
        <x:v>1.1</x:v>
      </x:c>
      <x:c r="K92" s="14" t="n">
        <x:f>ROUND((45+H92*8)*J92,0)</x:f>
        <x:v>173</x:v>
      </x:c>
      <x:c r="L92" s="14" t="n">
        <x:f>ROUND(K92*(IF(H92&lt;=10,0.9*H92+0.05*H92*(H92+1),14.5+1.9*(H92-10)))-0.4*IF(H92&lt;=10,0.45*H92*(H92-1)+H92*(H92^2-1)/30,0.95*H92*(H92-1)-12),2)</x:f>
        <x:v>3758.94</x:v>
      </x:c>
      <x:c r="M92" s="14" t="n">
        <x:f>FLOOR(L92*0.55,0.1)</x:f>
        <x:v>2067.4</x:v>
      </x:c>
      <x:c r="N92" s="14" t="n">
        <x:f>FLOOR(L92*0.75,0.1)</x:f>
        <x:v>2819.2000000000003</x:v>
      </x:c>
      <x:c r="O92" s="15" t="n"/>
    </x:row>
    <x:row r="93">
      <x:c r="B93" s="11" t="n">
        <x:v>89</x:v>
      </x:c>
      <x:c r="C93" s="11" t="n">
        <x:v>9</x:v>
      </x:c>
      <x:c r="D93" s="11" t="inlineStr">
        <x:is>
          <x:t xml:space="preserve">kitchen</x:t>
        </x:is>
      </x:c>
      <x:c r="E93" s="11" t="inlineStr">
        <x:is>
          <x:t xml:space="preserve">standard</x:t>
        </x:is>
      </x:c>
      <x:c r="F93" s="11" t="n">
        <x:v>6</x:v>
      </x:c>
      <x:c r="G93" s="11" t="n">
        <x:v>3</x:v>
      </x:c>
      <x:c r="H93" s="12" t="n">
        <x:f>F93*G93</x:f>
        <x:v>18</x:v>
      </x:c>
      <x:c r="I93" s="11" t="n">
        <x:v>105</x:v>
      </x:c>
      <x:c r="J93" s="11" t="n">
        <x:v>1</x:v>
      </x:c>
      <x:c r="K93" s="12" t="n">
        <x:f>ROUND((45+H93*8)*J93,0)</x:f>
        <x:v>189</x:v>
      </x:c>
      <x:c r="L93" s="12" t="n">
        <x:f>ROUND(K93*(IF(H93&lt;=10,0.9*H93+0.05*H93*(H93+1),14.5+1.9*(H93-10)))-0.4*IF(H93&lt;=10,0.45*H93*(H93-1)+H93*(H93^2-1)/30,0.95*H93*(H93-1)-12),2)</x:f>
        <x:v>5501.82</x:v>
      </x:c>
      <x:c r="M93" s="12" t="n">
        <x:f>FLOOR(L93*0.55,0.1)</x:f>
        <x:v>3026</x:v>
      </x:c>
      <x:c r="N93" s="12" t="n">
        <x:f>FLOOR(L93*0.75,0.1)</x:f>
        <x:v>4126.3</x:v>
      </x:c>
    </x:row>
    <x:row r="94">
      <x:c r="B94" s="16" t="n">
        <x:v>90</x:v>
      </x:c>
      <x:c r="C94" s="16" t="n">
        <x:v>9</x:v>
      </x:c>
      <x:c r="D94" s="16" t="inlineStr">
        <x:is>
          <x:t xml:space="preserve">toys</x:t>
        </x:is>
      </x:c>
      <x:c r="E94" s="16" t="inlineStr">
        <x:is>
          <x:t xml:space="preserve">boss</x:t>
        </x:is>
      </x:c>
      <x:c r="F94" s="16" t="n">
        <x:v>12</x:v>
      </x:c>
      <x:c r="G94" s="16" t="n">
        <x:v>3</x:v>
      </x:c>
      <x:c r="H94" s="17" t="n">
        <x:f>F94*G94</x:f>
        <x:v>36</x:v>
      </x:c>
      <x:c r="I94" s="16" t="n">
        <x:v>122</x:v>
      </x:c>
      <x:c r="J94" s="16" t="n">
        <x:v>0.9</x:v>
      </x:c>
      <x:c r="K94" s="17" t="n">
        <x:f>ROUND((45+H94*8)*J94,0)</x:f>
        <x:v>300</x:v>
      </x:c>
      <x:c r="L94" s="17" t="n">
        <x:f>ROUND(K94*(IF(H94&lt;=10,0.9*H94+0.05*H94*(H94+1),14.5+1.9*(H94-10)))-0.4*IF(H94&lt;=10,0.45*H94*(H94-1)+H94*(H94^2-1)/30,0.95*H94*(H94-1)-12),2)</x:f>
        <x:v>18696</x:v>
      </x:c>
      <x:c r="M94" s="17" t="n">
        <x:f>FLOOR(L94*0.55,0.1)</x:f>
        <x:v>10282.800000000001</x:v>
      </x:c>
      <x:c r="N94" s="17" t="n">
        <x:f>FLOOR(L94*0.75,0.1)</x:f>
        <x:v>14022</x:v>
      </x:c>
      <x:c r="O94" s="18" t="n"/>
    </x:row>
    <x:row r="95">
      <x:c r="B95" s="11" t="n">
        <x:v>91</x:v>
      </x:c>
      <x:c r="C95" s="11" t="n">
        <x:v>10</x:v>
      </x:c>
      <x:c r="D95" s="11" t="inlineStr">
        <x:is>
          <x:t xml:space="preserve">nature</x:t>
        </x:is>
      </x:c>
      <x:c r="E95" s="11" t="inlineStr">
        <x:is>
          <x:t xml:space="preserve">standard</x:t>
        </x:is>
      </x:c>
      <x:c r="F95" s="11" t="n">
        <x:v>6</x:v>
      </x:c>
      <x:c r="G95" s="11" t="n">
        <x:v>3</x:v>
      </x:c>
      <x:c r="H95" s="12" t="n">
        <x:f>F95*G95</x:f>
        <x:v>18</x:v>
      </x:c>
      <x:c r="I95" s="11" t="n">
        <x:v>106</x:v>
      </x:c>
      <x:c r="J95" s="11" t="n">
        <x:v>1</x:v>
      </x:c>
      <x:c r="K95" s="12" t="n">
        <x:f>ROUND((45+H95*8)*J95,0)</x:f>
        <x:v>189</x:v>
      </x:c>
      <x:c r="L95" s="12" t="n">
        <x:f>ROUND(K95*(IF(H95&lt;=10,0.9*H95+0.05*H95*(H95+1),14.5+1.9*(H95-10)))-0.4*IF(H95&lt;=10,0.45*H95*(H95-1)+H95*(H95^2-1)/30,0.95*H95*(H95-1)-12),2)</x:f>
        <x:v>5501.82</x:v>
      </x:c>
      <x:c r="M95" s="12" t="n">
        <x:f>FLOOR(L95*0.55,0.1)</x:f>
        <x:v>3026</x:v>
      </x:c>
      <x:c r="N95" s="12" t="n">
        <x:f>FLOOR(L95*0.75,0.1)</x:f>
        <x:v>4126.3</x:v>
      </x:c>
    </x:row>
    <x:row r="96">
      <x:c r="B96" s="13" t="n">
        <x:v>92</x:v>
      </x:c>
      <x:c r="C96" s="13" t="n">
        <x:v>10</x:v>
      </x:c>
      <x:c r="D96" s="13" t="inlineStr">
        <x:is>
          <x:t xml:space="preserve">travel</x:t>
        </x:is>
      </x:c>
      <x:c r="E96" s="13" t="inlineStr">
        <x:is>
          <x:t xml:space="preserve">cluster</x:t>
        </x:is>
      </x:c>
      <x:c r="F96" s="13" t="n">
        <x:v>1</x:v>
      </x:c>
      <x:c r="G96" s="13" t="n">
        <x:v>8</x:v>
      </x:c>
      <x:c r="H96" s="14" t="n">
        <x:f>F96*G96</x:f>
        <x:v>8</x:v>
      </x:c>
      <x:c r="I96" s="13" t="n">
        <x:v>107</x:v>
      </x:c>
      <x:c r="J96" s="13" t="n">
        <x:v>1.1</x:v>
      </x:c>
      <x:c r="K96" s="14" t="n">
        <x:f>ROUND((45+H96*8)*J96,0)</x:f>
        <x:v>120</x:v>
      </x:c>
      <x:c r="L96" s="14" t="n">
        <x:f>ROUND(K96*(IF(H96&lt;=10,0.9*H96+0.05*H96*(H96+1),14.5+1.9*(H96-10)))-0.4*IF(H96&lt;=10,0.45*H96*(H96-1)+H96*(H96^2-1)/30,0.95*H96*(H96-1)-12),2)</x:f>
        <x:v>1279.2</x:v>
      </x:c>
      <x:c r="M96" s="14" t="n">
        <x:f>FLOOR(L96*0.55,0.1)</x:f>
        <x:v>703.5</x:v>
      </x:c>
      <x:c r="N96" s="14" t="n">
        <x:f>FLOOR(L96*0.75,0.1)</x:f>
        <x:v>959.4000000000001</x:v>
      </x:c>
      <x:c r="O96" s="15" t="n"/>
    </x:row>
    <x:row r="97">
      <x:c r="B97" s="11" t="n">
        <x:v>93</x:v>
      </x:c>
      <x:c r="C97" s="11" t="n">
        <x:v>10</x:v>
      </x:c>
      <x:c r="D97" s="11" t="inlineStr">
        <x:is>
          <x:t xml:space="preserve">ocean</x:t>
        </x:is>
      </x:c>
      <x:c r="E97" s="11" t="inlineStr">
        <x:is>
          <x:t xml:space="preserve">night</x:t>
        </x:is>
      </x:c>
      <x:c r="F97" s="11" t="n">
        <x:v>6</x:v>
      </x:c>
      <x:c r="G97" s="11" t="n">
        <x:v>3</x:v>
      </x:c>
      <x:c r="H97" s="12" t="n">
        <x:f>F97*G97</x:f>
        <x:v>18</x:v>
      </x:c>
      <x:c r="I97" s="11" t="n">
        <x:v>107</x:v>
      </x:c>
      <x:c r="J97" s="11" t="n">
        <x:v>1.2</x:v>
      </x:c>
      <x:c r="K97" s="12" t="n">
        <x:f>ROUND((45+H97*8)*J97,0)</x:f>
        <x:v>227</x:v>
      </x:c>
      <x:c r="L97" s="12" t="n">
        <x:f>ROUND(K97*(IF(H97&lt;=10,0.9*H97+0.05*H97*(H97+1),14.5+1.9*(H97-10)))-0.4*IF(H97&lt;=10,0.45*H97*(H97-1)+H97*(H97^2-1)/30,0.95*H97*(H97-1)-12),2)</x:f>
        <x:v>6630.42</x:v>
      </x:c>
      <x:c r="M97" s="12" t="n">
        <x:f>FLOOR(L97*0.55,0.1)</x:f>
        <x:v>3646.7000000000003</x:v>
      </x:c>
      <x:c r="N97" s="12" t="n">
        <x:f>FLOOR(L97*0.75,0.1)</x:f>
        <x:v>4972.8</x:v>
      </x:c>
    </x:row>
    <x:row r="98">
      <x:c r="B98" s="13" t="n">
        <x:v>94</x:v>
      </x:c>
      <x:c r="C98" s="13" t="n">
        <x:v>10</x:v>
      </x:c>
      <x:c r="D98" s="13" t="inlineStr">
        <x:is>
          <x:t xml:space="preserve">kitchen</x:t>
        </x:is>
      </x:c>
      <x:c r="E98" s="13" t="inlineStr">
        <x:is>
          <x:t xml:space="preserve">standard</x:t>
        </x:is>
      </x:c>
      <x:c r="F98" s="13" t="n">
        <x:v>6</x:v>
      </x:c>
      <x:c r="G98" s="13" t="n">
        <x:v>3</x:v>
      </x:c>
      <x:c r="H98" s="14" t="n">
        <x:f>F98*G98</x:f>
        <x:v>18</x:v>
      </x:c>
      <x:c r="I98" s="13" t="n">
        <x:v>108</x:v>
      </x:c>
      <x:c r="J98" s="13" t="n">
        <x:v>1</x:v>
      </x:c>
      <x:c r="K98" s="14" t="n">
        <x:f>ROUND((45+H98*8)*J98,0)</x:f>
        <x:v>189</x:v>
      </x:c>
      <x:c r="L98" s="14" t="n">
        <x:f>ROUND(K98*(IF(H98&lt;=10,0.9*H98+0.05*H98*(H98+1),14.5+1.9*(H98-10)))-0.4*IF(H98&lt;=10,0.45*H98*(H98-1)+H98*(H98^2-1)/30,0.95*H98*(H98-1)-12),2)</x:f>
        <x:v>5501.82</x:v>
      </x:c>
      <x:c r="M98" s="14" t="n">
        <x:f>FLOOR(L98*0.55,0.1)</x:f>
        <x:v>3026</x:v>
      </x:c>
      <x:c r="N98" s="14" t="n">
        <x:f>FLOOR(L98*0.75,0.1)</x:f>
        <x:v>4126.3</x:v>
      </x:c>
      <x:c r="O98" s="15" t="n"/>
    </x:row>
    <x:row r="99">
      <x:c r="B99" s="11" t="n">
        <x:v>95</x:v>
      </x:c>
      <x:c r="C99" s="11" t="n">
        <x:v>10</x:v>
      </x:c>
      <x:c r="D99" s="11" t="inlineStr">
        <x:is>
          <x:t xml:space="preserve">ocean</x:t>
        </x:is>
      </x:c>
      <x:c r="E99" s="11" t="inlineStr">
        <x:is>
          <x:t xml:space="preserve">speed</x:t>
        </x:is>
      </x:c>
      <x:c r="F99" s="11" t="n">
        <x:v>2</x:v>
      </x:c>
      <x:c r="G99" s="11" t="n">
        <x:v>1</x:v>
      </x:c>
      <x:c r="H99" s="12" t="n">
        <x:f>F99*G99</x:f>
        <x:v>2</x:v>
      </x:c>
      <x:c r="I99" s="11" t="n">
        <x:v>108</x:v>
      </x:c>
      <x:c r="J99" s="11" t="n">
        <x:v>0.5</x:v>
      </x:c>
      <x:c r="K99" s="12" t="n">
        <x:f>ROUND((45+H99*8)*J99,0)</x:f>
        <x:v>31</x:v>
      </x:c>
      <x:c r="L99" s="12" t="n">
        <x:f>ROUND(K99*(IF(H99&lt;=10,0.9*H99+0.05*H99*(H99+1),14.5+1.9*(H99-10)))-0.4*IF(H99&lt;=10,0.45*H99*(H99-1)+H99*(H99^2-1)/30,0.95*H99*(H99-1)-12),2)</x:f>
        <x:v>64.66</x:v>
      </x:c>
      <x:c r="M99" s="12" t="n">
        <x:f>FLOOR(L99*0.55,0.1)</x:f>
        <x:v>35.5</x:v>
      </x:c>
      <x:c r="N99" s="12" t="n">
        <x:f>FLOOR(L99*0.75,0.1)</x:f>
        <x:v>48.400000000000006</x:v>
      </x:c>
    </x:row>
    <x:row r="100">
      <x:c r="B100" s="13" t="n">
        <x:v>96</x:v>
      </x:c>
      <x:c r="C100" s="13" t="n">
        <x:v>10</x:v>
      </x:c>
      <x:c r="D100" s="13" t="inlineStr">
        <x:is>
          <x:t xml:space="preserve">toys</x:t>
        </x:is>
      </x:c>
      <x:c r="E100" s="13" t="inlineStr">
        <x:is>
          <x:t xml:space="preserve">standard</x:t>
        </x:is>
      </x:c>
      <x:c r="F100" s="13" t="n">
        <x:v>6</x:v>
      </x:c>
      <x:c r="G100" s="13" t="n">
        <x:v>3</x:v>
      </x:c>
      <x:c r="H100" s="14" t="n">
        <x:f>F100*G100</x:f>
        <x:v>18</x:v>
      </x:c>
      <x:c r="I100" s="13" t="n">
        <x:v>108</x:v>
      </x:c>
      <x:c r="J100" s="13" t="n">
        <x:v>1</x:v>
      </x:c>
      <x:c r="K100" s="14" t="n">
        <x:f>ROUND((45+H100*8)*J100,0)</x:f>
        <x:v>189</x:v>
      </x:c>
      <x:c r="L100" s="14" t="n">
        <x:f>ROUND(K100*(IF(H100&lt;=10,0.9*H100+0.05*H100*(H100+1),14.5+1.9*(H100-10)))-0.4*IF(H100&lt;=10,0.45*H100*(H100-1)+H100*(H100^2-1)/30,0.95*H100*(H100-1)-12),2)</x:f>
        <x:v>5501.82</x:v>
      </x:c>
      <x:c r="M100" s="14" t="n">
        <x:f>FLOOR(L100*0.55,0.1)</x:f>
        <x:v>3026</x:v>
      </x:c>
      <x:c r="N100" s="14" t="n">
        <x:f>FLOOR(L100*0.75,0.1)</x:f>
        <x:v>4126.3</x:v>
      </x:c>
      <x:c r="O100" s="15" t="n"/>
    </x:row>
    <x:row r="101">
      <x:c r="B101" s="11" t="n">
        <x:v>97</x:v>
      </x:c>
      <x:c r="C101" s="11" t="n">
        <x:v>10</x:v>
      </x:c>
      <x:c r="D101" s="11" t="inlineStr">
        <x:is>
          <x:t xml:space="preserve">space</x:t>
        </x:is>
      </x:c>
      <x:c r="E101" s="11" t="inlineStr">
        <x:is>
          <x:t xml:space="preserve">mist</x:t>
        </x:is>
      </x:c>
      <x:c r="F101" s="11" t="n">
        <x:v>6</x:v>
      </x:c>
      <x:c r="G101" s="11" t="n">
        <x:v>3</x:v>
      </x:c>
      <x:c r="H101" s="12" t="n">
        <x:f>F101*G101</x:f>
        <x:v>18</x:v>
      </x:c>
      <x:c r="I101" s="11" t="n">
        <x:v>109</x:v>
      </x:c>
      <x:c r="J101" s="11" t="n">
        <x:v>1.15</x:v>
      </x:c>
      <x:c r="K101" s="12" t="n">
        <x:f>ROUND((45+H101*8)*J101,0)</x:f>
        <x:v>217</x:v>
      </x:c>
      <x:c r="L101" s="12" t="n">
        <x:f>ROUND(K101*(IF(H101&lt;=10,0.9*H101+0.05*H101*(H101+1),14.5+1.9*(H101-10)))-0.4*IF(H101&lt;=10,0.45*H101*(H101-1)+H101*(H101^2-1)/30,0.95*H101*(H101-1)-12),2)</x:f>
        <x:v>6333.42</x:v>
      </x:c>
      <x:c r="M101" s="12" t="n">
        <x:f>FLOOR(L101*0.55,0.1)</x:f>
        <x:v>3483.3</x:v>
      </x:c>
      <x:c r="N101" s="12" t="n">
        <x:f>FLOOR(L101*0.75,0.1)</x:f>
        <x:v>4750</x:v>
      </x:c>
    </x:row>
    <x:row r="102">
      <x:c r="B102" s="13" t="n">
        <x:v>98</x:v>
      </x:c>
      <x:c r="C102" s="13" t="n">
        <x:v>10</x:v>
      </x:c>
      <x:c r="D102" s="13" t="inlineStr">
        <x:is>
          <x:t xml:space="preserve">nature</x:t>
        </x:is>
      </x:c>
      <x:c r="E102" s="13" t="inlineStr">
        <x:is>
          <x:t xml:space="preserve">cluster</x:t>
        </x:is>
      </x:c>
      <x:c r="F102" s="13" t="n">
        <x:v>2</x:v>
      </x:c>
      <x:c r="G102" s="13" t="n">
        <x:v>6</x:v>
      </x:c>
      <x:c r="H102" s="14" t="n">
        <x:f>F102*G102</x:f>
        <x:v>12</x:v>
      </x:c>
      <x:c r="I102" s="13" t="n">
        <x:v>109</x:v>
      </x:c>
      <x:c r="J102" s="13" t="n">
        <x:v>1.1</x:v>
      </x:c>
      <x:c r="K102" s="14" t="n">
        <x:f>ROUND((45+H102*8)*J102,0)</x:f>
        <x:v>155</x:v>
      </x:c>
      <x:c r="L102" s="14" t="n">
        <x:f>ROUND(K102*(IF(H102&lt;=10,0.9*H102+0.05*H102*(H102+1),14.5+1.9*(H102-10)))-0.4*IF(H102&lt;=10,0.45*H102*(H102-1)+H102*(H102^2-1)/30,0.95*H102*(H102-1)-12),2)</x:f>
        <x:v>2791.14</x:v>
      </x:c>
      <x:c r="M102" s="14" t="n">
        <x:f>FLOOR(L102*0.55,0.1)</x:f>
        <x:v>1535.1000000000001</x:v>
      </x:c>
      <x:c r="N102" s="14" t="n">
        <x:f>FLOOR(L102*0.75,0.1)</x:f>
        <x:v>2093.3</x:v>
      </x:c>
      <x:c r="O102" s="15" t="n"/>
    </x:row>
    <x:row r="103">
      <x:c r="B103" s="11" t="n">
        <x:v>99</x:v>
      </x:c>
      <x:c r="C103" s="11" t="n">
        <x:v>10</x:v>
      </x:c>
      <x:c r="D103" s="11" t="inlineStr">
        <x:is>
          <x:t xml:space="preserve">travel</x:t>
        </x:is>
      </x:c>
      <x:c r="E103" s="11" t="inlineStr">
        <x:is>
          <x:t xml:space="preserve">standard</x:t>
        </x:is>
      </x:c>
      <x:c r="F103" s="11" t="n">
        <x:v>6</x:v>
      </x:c>
      <x:c r="G103" s="11" t="n">
        <x:v>3</x:v>
      </x:c>
      <x:c r="H103" s="12" t="n">
        <x:f>F103*G103</x:f>
        <x:v>18</x:v>
      </x:c>
      <x:c r="I103" s="11" t="n">
        <x:v>110</x:v>
      </x:c>
      <x:c r="J103" s="11" t="n">
        <x:v>1</x:v>
      </x:c>
      <x:c r="K103" s="12" t="n">
        <x:f>ROUND((45+H103*8)*J103,0)</x:f>
        <x:v>189</x:v>
      </x:c>
      <x:c r="L103" s="12" t="n">
        <x:f>ROUND(K103*(IF(H103&lt;=10,0.9*H103+0.05*H103*(H103+1),14.5+1.9*(H103-10)))-0.4*IF(H103&lt;=10,0.45*H103*(H103-1)+H103*(H103^2-1)/30,0.95*H103*(H103-1)-12),2)</x:f>
        <x:v>5501.82</x:v>
      </x:c>
      <x:c r="M103" s="12" t="n">
        <x:f>FLOOR(L103*0.55,0.1)</x:f>
        <x:v>3026</x:v>
      </x:c>
      <x:c r="N103" s="12" t="n">
        <x:f>FLOOR(L103*0.75,0.1)</x:f>
        <x:v>4126.3</x:v>
      </x:c>
    </x:row>
    <x:row r="104">
      <x:c r="B104" s="16" t="n">
        <x:v>100</x:v>
      </x:c>
      <x:c r="C104" s="16" t="n">
        <x:v>10</x:v>
      </x:c>
      <x:c r="D104" s="16" t="inlineStr">
        <x:is>
          <x:t xml:space="preserve">space</x:t>
        </x:is>
      </x:c>
      <x:c r="E104" s="16" t="inlineStr">
        <x:is>
          <x:t xml:space="preserve">boss</x:t>
        </x:is>
      </x:c>
      <x:c r="F104" s="16" t="n">
        <x:v>12</x:v>
      </x:c>
      <x:c r="G104" s="16" t="n">
        <x:v>3</x:v>
      </x:c>
      <x:c r="H104" s="17" t="n">
        <x:f>F104*G104</x:f>
        <x:v>36</x:v>
      </x:c>
      <x:c r="I104" s="16" t="n">
        <x:v>127</x:v>
      </x:c>
      <x:c r="J104" s="16" t="n">
        <x:v>0.9</x:v>
      </x:c>
      <x:c r="K104" s="17" t="n">
        <x:f>ROUND((45+H104*8)*J104,0)</x:f>
        <x:v>300</x:v>
      </x:c>
      <x:c r="L104" s="17" t="n">
        <x:f>ROUND(K104*(IF(H104&lt;=10,0.9*H104+0.05*H104*(H104+1),14.5+1.9*(H104-10)))-0.4*IF(H104&lt;=10,0.45*H104*(H104-1)+H104*(H104^2-1)/30,0.95*H104*(H104-1)-12),2)</x:f>
        <x:v>18696</x:v>
      </x:c>
      <x:c r="M104" s="17" t="n">
        <x:f>FLOOR(L104*0.55,0.1)</x:f>
        <x:v>10282.800000000001</x:v>
      </x:c>
      <x:c r="N104" s="17" t="n">
        <x:f>FLOOR(L104*0.75,0.1)</x:f>
        <x:v>14022</x:v>
      </x:c>
      <x:c r="O104" s="18" t="n"/>
    </x:row>
  </x:sheetData>
  <x:mergeCells>
    <x:mergeCell ref="B3:O3"/>
    <x:mergeCell ref="B2:O2"/>
  </x:mergeCells>
  <x:pageMargins left="0.7" right="0.7" top="0.75" bottom="0.75" header="0.3" footer="0.3"/>
  <x:drawing xmlns:r="http://schemas.openxmlformats.org/officeDocument/2006/relationships" r:id="Re89d06a7d0aa43de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2" max="2" width="11" customWidth="1"/>
    <x:col min="3" max="3" width="13" customWidth="1"/>
    <x:col min="4" max="4" width="13" customWidth="1"/>
  </x:cols>
  <x:sheetData>
    <x:row r="2" ht="30" customHeight="1">
      <x:c r="B2" s="8" t="inlineStr">
        <x:is>
          <x:t xml:space="preserve">星锚系数表 M(n) / h(n)</x:t>
        </x:is>
      </x:c>
    </x:row>
    <x:row r="3">
      <x:c r="B3" s="9" t="inlineStr">
        <x:is>
          <x:t xml:space="preserve">StarBase = T × M(n) − 0.4 × h(n)（D10 极限速点模型）。M：n≤10 → 0.9n+0.05n(n+1)；n≥10 → 14.5+1.9(n−10)。h：n≤10 → 0.45n(n−1)+n(n²−1)/30；n≥10 → 0.95n(n−1)−12</x:t>
        </x:is>
      </x:c>
    </x:row>
    <x:row r="4">
      <x:c r="B4" s="10" t="inlineStr">
        <x:is>
          <x:t xml:space="preserve">目标总数 n</x:t>
        </x:is>
      </x:c>
      <x:c r="C4" s="10" t="inlineStr">
        <x:is>
          <x:t xml:space="preserve">M(n)</x:t>
        </x:is>
      </x:c>
      <x:c r="D4" s="10" t="inlineStr">
        <x:is>
          <x:t xml:space="preserve">h(n)</x:t>
        </x:is>
      </x:c>
    </x:row>
    <x:row r="5">
      <x:c r="B5" s="11" t="n">
        <x:v>1</x:v>
      </x:c>
      <x:c r="C5" s="19" t="n">
        <x:f>IF(B5&lt;=10,0.9*B5+0.05*B5*(B5+1),14.5+1.9*(B5-10))</x:f>
        <x:v>1</x:v>
      </x:c>
      <x:c r="D5" s="19" t="n">
        <x:f>IF(B5&lt;=10,0.45*B5*(B5-1)+B5*(B5^2-1)/30,0.95*B5*(B5-1)-12)</x:f>
        <x:v>0</x:v>
      </x:c>
    </x:row>
    <x:row r="6">
      <x:c r="B6" s="11" t="n">
        <x:v>2</x:v>
      </x:c>
      <x:c r="C6" s="19" t="n">
        <x:f>IF(B6&lt;=10,0.9*B6+0.05*B6*(B6+1),14.5+1.9*(B6-10))</x:f>
        <x:v>2.1</x:v>
      </x:c>
      <x:c r="D6" s="19" t="n">
        <x:f>IF(B6&lt;=10,0.45*B6*(B6-1)+B6*(B6^2-1)/30,0.95*B6*(B6-1)-12)</x:f>
        <x:v>1.1</x:v>
      </x:c>
    </x:row>
    <x:row r="7">
      <x:c r="B7" s="11" t="n">
        <x:v>3</x:v>
      </x:c>
      <x:c r="C7" s="19" t="n">
        <x:f>IF(B7&lt;=10,0.9*B7+0.05*B7*(B7+1),14.5+1.9*(B7-10))</x:f>
        <x:v>3.3000000000000003</x:v>
      </x:c>
      <x:c r="D7" s="19" t="n">
        <x:f>IF(B7&lt;=10,0.45*B7*(B7-1)+B7*(B7^2-1)/30,0.95*B7*(B7-1)-12)</x:f>
        <x:v>3.5</x:v>
      </x:c>
    </x:row>
    <x:row r="8">
      <x:c r="B8" s="11" t="n">
        <x:v>4</x:v>
      </x:c>
      <x:c r="C8" s="19" t="n">
        <x:f>IF(B8&lt;=10,0.9*B8+0.05*B8*(B8+1),14.5+1.9*(B8-10))</x:f>
        <x:v>4.6</x:v>
      </x:c>
      <x:c r="D8" s="19" t="n">
        <x:f>IF(B8&lt;=10,0.45*B8*(B8-1)+B8*(B8^2-1)/30,0.95*B8*(B8-1)-12)</x:f>
        <x:v>7.4</x:v>
      </x:c>
    </x:row>
    <x:row r="9">
      <x:c r="B9" s="11" t="n">
        <x:v>5</x:v>
      </x:c>
      <x:c r="C9" s="19" t="n">
        <x:f>IF(B9&lt;=10,0.9*B9+0.05*B9*(B9+1),14.5+1.9*(B9-10))</x:f>
        <x:v>6</x:v>
      </x:c>
      <x:c r="D9" s="19" t="n">
        <x:f>IF(B9&lt;=10,0.45*B9*(B9-1)+B9*(B9^2-1)/30,0.95*B9*(B9-1)-12)</x:f>
        <x:v>13</x:v>
      </x:c>
    </x:row>
    <x:row r="10">
      <x:c r="B10" s="11" t="n">
        <x:v>6</x:v>
      </x:c>
      <x:c r="C10" s="19" t="n">
        <x:f>IF(B10&lt;=10,0.9*B10+0.05*B10*(B10+1),14.5+1.9*(B10-10))</x:f>
        <x:v>7.500000000000001</x:v>
      </x:c>
      <x:c r="D10" s="19" t="n">
        <x:f>IF(B10&lt;=10,0.45*B10*(B10-1)+B10*(B10^2-1)/30,0.95*B10*(B10-1)-12)</x:f>
        <x:v>20.5</x:v>
      </x:c>
    </x:row>
    <x:row r="11">
      <x:c r="B11" s="11" t="n">
        <x:v>7</x:v>
      </x:c>
      <x:c r="C11" s="19" t="n">
        <x:f>IF(B11&lt;=10,0.9*B11+0.05*B11*(B11+1),14.5+1.9*(B11-10))</x:f>
        <x:v>9.1</x:v>
      </x:c>
      <x:c r="D11" s="19" t="n">
        <x:f>IF(B11&lt;=10,0.45*B11*(B11-1)+B11*(B11^2-1)/30,0.95*B11*(B11-1)-12)</x:f>
        <x:v>30.099999999999998</x:v>
      </x:c>
    </x:row>
    <x:row r="12">
      <x:c r="B12" s="11" t="n">
        <x:v>8</x:v>
      </x:c>
      <x:c r="C12" s="19" t="n">
        <x:f>IF(B12&lt;=10,0.9*B12+0.05*B12*(B12+1),14.5+1.9*(B12-10))</x:f>
        <x:v>10.8</x:v>
      </x:c>
      <x:c r="D12" s="19" t="n">
        <x:f>IF(B12&lt;=10,0.45*B12*(B12-1)+B12*(B12^2-1)/30,0.95*B12*(B12-1)-12)</x:f>
        <x:v>42</x:v>
      </x:c>
    </x:row>
    <x:row r="13">
      <x:c r="B13" s="11" t="n">
        <x:v>9</x:v>
      </x:c>
      <x:c r="C13" s="19" t="n">
        <x:f>IF(B13&lt;=10,0.9*B13+0.05*B13*(B13+1),14.5+1.9*(B13-10))</x:f>
        <x:v>12.6</x:v>
      </x:c>
      <x:c r="D13" s="19" t="n">
        <x:f>IF(B13&lt;=10,0.45*B13*(B13-1)+B13*(B13^2-1)/30,0.95*B13*(B13-1)-12)</x:f>
        <x:v>56.4</x:v>
      </x:c>
    </x:row>
    <x:row r="14">
      <x:c r="B14" s="11" t="n">
        <x:v>10</x:v>
      </x:c>
      <x:c r="C14" s="19" t="n">
        <x:f>IF(B14&lt;=10,0.9*B14+0.05*B14*(B14+1),14.5+1.9*(B14-10))</x:f>
        <x:v>14.5</x:v>
      </x:c>
      <x:c r="D14" s="19" t="n">
        <x:f>IF(B14&lt;=10,0.45*B14*(B14-1)+B14*(B14^2-1)/30,0.95*B14*(B14-1)-12)</x:f>
        <x:v>73.5</x:v>
      </x:c>
    </x:row>
    <x:row r="15">
      <x:c r="B15" s="11" t="n">
        <x:v>11</x:v>
      </x:c>
      <x:c r="C15" s="19" t="n">
        <x:f>IF(B15&lt;=10,0.9*B15+0.05*B15*(B15+1),14.5+1.9*(B15-10))</x:f>
        <x:v>16.4</x:v>
      </x:c>
      <x:c r="D15" s="19" t="n">
        <x:f>IF(B15&lt;=10,0.45*B15*(B15-1)+B15*(B15^2-1)/30,0.95*B15*(B15-1)-12)</x:f>
        <x:v>92.5</x:v>
      </x:c>
    </x:row>
    <x:row r="16">
      <x:c r="B16" s="11" t="n">
        <x:v>12</x:v>
      </x:c>
      <x:c r="C16" s="19" t="n">
        <x:f>IF(B16&lt;=10,0.9*B16+0.05*B16*(B16+1),14.5+1.9*(B16-10))</x:f>
        <x:v>18.3</x:v>
      </x:c>
      <x:c r="D16" s="19" t="n">
        <x:f>IF(B16&lt;=10,0.45*B16*(B16-1)+B16*(B16^2-1)/30,0.95*B16*(B16-1)-12)</x:f>
        <x:v>113.39999999999998</x:v>
      </x:c>
    </x:row>
    <x:row r="17">
      <x:c r="B17" s="11" t="n">
        <x:v>13</x:v>
      </x:c>
      <x:c r="C17" s="19" t="n">
        <x:f>IF(B17&lt;=10,0.9*B17+0.05*B17*(B17+1),14.5+1.9*(B17-10))</x:f>
        <x:v>20.2</x:v>
      </x:c>
      <x:c r="D17" s="19" t="n">
        <x:f>IF(B17&lt;=10,0.45*B17*(B17-1)+B17*(B17^2-1)/30,0.95*B17*(B17-1)-12)</x:f>
        <x:v>136.2</x:v>
      </x:c>
    </x:row>
    <x:row r="18">
      <x:c r="B18" s="11" t="n">
        <x:v>14</x:v>
      </x:c>
      <x:c r="C18" s="19" t="n">
        <x:f>IF(B18&lt;=10,0.9*B18+0.05*B18*(B18+1),14.5+1.9*(B18-10))</x:f>
        <x:v>22.1</x:v>
      </x:c>
      <x:c r="D18" s="19" t="n">
        <x:f>IF(B18&lt;=10,0.45*B18*(B18-1)+B18*(B18^2-1)/30,0.95*B18*(B18-1)-12)</x:f>
        <x:v>160.89999999999998</x:v>
      </x:c>
    </x:row>
    <x:row r="19">
      <x:c r="B19" s="11" t="n">
        <x:v>15</x:v>
      </x:c>
      <x:c r="C19" s="19" t="n">
        <x:f>IF(B19&lt;=10,0.9*B19+0.05*B19*(B19+1),14.5+1.9*(B19-10))</x:f>
        <x:v>24</x:v>
      </x:c>
      <x:c r="D19" s="19" t="n">
        <x:f>IF(B19&lt;=10,0.45*B19*(B19-1)+B19*(B19^2-1)/30,0.95*B19*(B19-1)-12)</x:f>
        <x:v>187.5</x:v>
      </x:c>
    </x:row>
    <x:row r="20">
      <x:c r="B20" s="11" t="n">
        <x:v>16</x:v>
      </x:c>
      <x:c r="C20" s="19" t="n">
        <x:f>IF(B20&lt;=10,0.9*B20+0.05*B20*(B20+1),14.5+1.9*(B20-10))</x:f>
        <x:v>25.9</x:v>
      </x:c>
      <x:c r="D20" s="19" t="n">
        <x:f>IF(B20&lt;=10,0.45*B20*(B20-1)+B20*(B20^2-1)/30,0.95*B20*(B20-1)-12)</x:f>
        <x:v>216</x:v>
      </x:c>
    </x:row>
    <x:row r="21">
      <x:c r="B21" s="11" t="n">
        <x:v>17</x:v>
      </x:c>
      <x:c r="C21" s="19" t="n">
        <x:f>IF(B21&lt;=10,0.9*B21+0.05*B21*(B21+1),14.5+1.9*(B21-10))</x:f>
        <x:v>27.799999999999997</x:v>
      </x:c>
      <x:c r="D21" s="19" t="n">
        <x:f>IF(B21&lt;=10,0.45*B21*(B21-1)+B21*(B21^2-1)/30,0.95*B21*(B21-1)-12)</x:f>
        <x:v>246.39999999999998</x:v>
      </x:c>
    </x:row>
    <x:row r="22">
      <x:c r="B22" s="11" t="n">
        <x:v>18</x:v>
      </x:c>
      <x:c r="C22" s="19" t="n">
        <x:f>IF(B22&lt;=10,0.9*B22+0.05*B22*(B22+1),14.5+1.9*(B22-10))</x:f>
        <x:v>29.7</x:v>
      </x:c>
      <x:c r="D22" s="19" t="n">
        <x:f>IF(B22&lt;=10,0.45*B22*(B22-1)+B22*(B22^2-1)/30,0.95*B22*(B22-1)-12)</x:f>
        <x:v>278.7</x:v>
      </x:c>
    </x:row>
    <x:row r="23">
      <x:c r="B23" s="11" t="n">
        <x:v>19</x:v>
      </x:c>
      <x:c r="C23" s="19" t="n">
        <x:f>IF(B23&lt;=10,0.9*B23+0.05*B23*(B23+1),14.5+1.9*(B23-10))</x:f>
        <x:v>31.599999999999998</x:v>
      </x:c>
      <x:c r="D23" s="19" t="n">
        <x:f>IF(B23&lt;=10,0.45*B23*(B23-1)+B23*(B23^2-1)/30,0.95*B23*(B23-1)-12)</x:f>
        <x:v>312.90000000000003</x:v>
      </x:c>
    </x:row>
    <x:row r="24">
      <x:c r="B24" s="11" t="n">
        <x:v>20</x:v>
      </x:c>
      <x:c r="C24" s="19" t="n">
        <x:f>IF(B24&lt;=10,0.9*B24+0.05*B24*(B24+1),14.5+1.9*(B24-10))</x:f>
        <x:v>33.5</x:v>
      </x:c>
      <x:c r="D24" s="19" t="n">
        <x:f>IF(B24&lt;=10,0.45*B24*(B24-1)+B24*(B24^2-1)/30,0.95*B24*(B24-1)-12)</x:f>
        <x:v>349</x:v>
      </x:c>
    </x:row>
    <x:row r="25">
      <x:c r="B25" s="11" t="n">
        <x:v>21</x:v>
      </x:c>
      <x:c r="C25" s="19" t="n">
        <x:f>IF(B25&lt;=10,0.9*B25+0.05*B25*(B25+1),14.5+1.9*(B25-10))</x:f>
        <x:v>35.4</x:v>
      </x:c>
      <x:c r="D25" s="19" t="n">
        <x:f>IF(B25&lt;=10,0.45*B25*(B25-1)+B25*(B25^2-1)/30,0.95*B25*(B25-1)-12)</x:f>
        <x:v>387</x:v>
      </x:c>
    </x:row>
    <x:row r="26">
      <x:c r="B26" s="11" t="n">
        <x:v>22</x:v>
      </x:c>
      <x:c r="C26" s="19" t="n">
        <x:f>IF(B26&lt;=10,0.9*B26+0.05*B26*(B26+1),14.5+1.9*(B26-10))</x:f>
        <x:v>37.3</x:v>
      </x:c>
      <x:c r="D26" s="19" t="n">
        <x:f>IF(B26&lt;=10,0.45*B26*(B26-1)+B26*(B26^2-1)/30,0.95*B26*(B26-1)-12)</x:f>
        <x:v>426.9</x:v>
      </x:c>
    </x:row>
    <x:row r="27">
      <x:c r="B27" s="11" t="n">
        <x:v>23</x:v>
      </x:c>
      <x:c r="C27" s="19" t="n">
        <x:f>IF(B27&lt;=10,0.9*B27+0.05*B27*(B27+1),14.5+1.9*(B27-10))</x:f>
        <x:v>39.2</x:v>
      </x:c>
      <x:c r="D27" s="19" t="n">
        <x:f>IF(B27&lt;=10,0.45*B27*(B27-1)+B27*(B27^2-1)/30,0.95*B27*(B27-1)-12)</x:f>
        <x:v>468.69999999999993</x:v>
      </x:c>
    </x:row>
    <x:row r="28">
      <x:c r="B28" s="11" t="n">
        <x:v>24</x:v>
      </x:c>
      <x:c r="C28" s="19" t="n">
        <x:f>IF(B28&lt;=10,0.9*B28+0.05*B28*(B28+1),14.5+1.9*(B28-10))</x:f>
        <x:v>41.099999999999994</x:v>
      </x:c>
      <x:c r="D28" s="19" t="n">
        <x:f>IF(B28&lt;=10,0.45*B28*(B28-1)+B28*(B28^2-1)/30,0.95*B28*(B28-1)-12)</x:f>
        <x:v>512.4</x:v>
      </x:c>
    </x:row>
    <x:row r="29">
      <x:c r="B29" s="11" t="n">
        <x:v>25</x:v>
      </x:c>
      <x:c r="C29" s="19" t="n">
        <x:f>IF(B29&lt;=10,0.9*B29+0.05*B29*(B29+1),14.5+1.9*(B29-10))</x:f>
        <x:v>43</x:v>
      </x:c>
      <x:c r="D29" s="19" t="n">
        <x:f>IF(B29&lt;=10,0.45*B29*(B29-1)+B29*(B29^2-1)/30,0.95*B29*(B29-1)-12)</x:f>
        <x:v>558</x:v>
      </x:c>
    </x:row>
    <x:row r="30">
      <x:c r="B30" s="11" t="n">
        <x:v>26</x:v>
      </x:c>
      <x:c r="C30" s="19" t="n">
        <x:f>IF(B30&lt;=10,0.9*B30+0.05*B30*(B30+1),14.5+1.9*(B30-10))</x:f>
        <x:v>44.9</x:v>
      </x:c>
      <x:c r="D30" s="19" t="n">
        <x:f>IF(B30&lt;=10,0.45*B30*(B30-1)+B30*(B30^2-1)/30,0.95*B30*(B30-1)-12)</x:f>
        <x:v>605.5</x:v>
      </x:c>
    </x:row>
    <x:row r="31">
      <x:c r="B31" s="11" t="n">
        <x:v>27</x:v>
      </x:c>
      <x:c r="C31" s="19" t="n">
        <x:f>IF(B31&lt;=10,0.9*B31+0.05*B31*(B31+1),14.5+1.9*(B31-10))</x:f>
        <x:v>46.8</x:v>
      </x:c>
      <x:c r="D31" s="19" t="n">
        <x:f>IF(B31&lt;=10,0.45*B31*(B31-1)+B31*(B31^2-1)/30,0.95*B31*(B31-1)-12)</x:f>
        <x:v>654.9</x:v>
      </x:c>
    </x:row>
    <x:row r="32">
      <x:c r="B32" s="11" t="n">
        <x:v>28</x:v>
      </x:c>
      <x:c r="C32" s="19" t="n">
        <x:f>IF(B32&lt;=10,0.9*B32+0.05*B32*(B32+1),14.5+1.9*(B32-10))</x:f>
        <x:v>48.699999999999996</x:v>
      </x:c>
      <x:c r="D32" s="19" t="n">
        <x:f>IF(B32&lt;=10,0.45*B32*(B32-1)+B32*(B32^2-1)/30,0.95*B32*(B32-1)-12)</x:f>
        <x:v>706.1999999999999</x:v>
      </x:c>
    </x:row>
    <x:row r="33">
      <x:c r="B33" s="11" t="n">
        <x:v>29</x:v>
      </x:c>
      <x:c r="C33" s="19" t="n">
        <x:f>IF(B33&lt;=10,0.9*B33+0.05*B33*(B33+1),14.5+1.9*(B33-10))</x:f>
        <x:v>50.6</x:v>
      </x:c>
      <x:c r="D33" s="19" t="n">
        <x:f>IF(B33&lt;=10,0.45*B33*(B33-1)+B33*(B33^2-1)/30,0.95*B33*(B33-1)-12)</x:f>
        <x:v>759.3999999999999</x:v>
      </x:c>
    </x:row>
    <x:row r="34">
      <x:c r="B34" s="11" t="n">
        <x:v>30</x:v>
      </x:c>
      <x:c r="C34" s="19" t="n">
        <x:f>IF(B34&lt;=10,0.9*B34+0.05*B34*(B34+1),14.5+1.9*(B34-10))</x:f>
        <x:v>52.5</x:v>
      </x:c>
      <x:c r="D34" s="19" t="n">
        <x:f>IF(B34&lt;=10,0.45*B34*(B34-1)+B34*(B34^2-1)/30,0.95*B34*(B34-1)-12)</x:f>
        <x:v>814.5</x:v>
      </x:c>
    </x:row>
    <x:row r="35">
      <x:c r="B35" s="11" t="n">
        <x:v>31</x:v>
      </x:c>
      <x:c r="C35" s="19" t="n">
        <x:f>IF(B35&lt;=10,0.9*B35+0.05*B35*(B35+1),14.5+1.9*(B35-10))</x:f>
        <x:v>54.4</x:v>
      </x:c>
      <x:c r="D35" s="19" t="n">
        <x:f>IF(B35&lt;=10,0.45*B35*(B35-1)+B35*(B35^2-1)/30,0.95*B35*(B35-1)-12)</x:f>
        <x:v>871.5</x:v>
      </x:c>
    </x:row>
    <x:row r="36">
      <x:c r="B36" s="11" t="n">
        <x:v>32</x:v>
      </x:c>
      <x:c r="C36" s="19" t="n">
        <x:f>IF(B36&lt;=10,0.9*B36+0.05*B36*(B36+1),14.5+1.9*(B36-10))</x:f>
        <x:v>56.3</x:v>
      </x:c>
      <x:c r="D36" s="19" t="n">
        <x:f>IF(B36&lt;=10,0.45*B36*(B36-1)+B36*(B36^2-1)/30,0.95*B36*(B36-1)-12)</x:f>
        <x:v>930.4</x:v>
      </x:c>
    </x:row>
    <x:row r="37">
      <x:c r="B37" s="11" t="n">
        <x:v>33</x:v>
      </x:c>
      <x:c r="C37" s="19" t="n">
        <x:f>IF(B37&lt;=10,0.9*B37+0.05*B37*(B37+1),14.5+1.9*(B37-10))</x:f>
        <x:v>58.199999999999996</x:v>
      </x:c>
      <x:c r="D37" s="19" t="n">
        <x:f>IF(B37&lt;=10,0.45*B37*(B37-1)+B37*(B37^2-1)/30,0.95*B37*(B37-1)-12)</x:f>
        <x:v>991.1999999999999</x:v>
      </x:c>
    </x:row>
    <x:row r="38">
      <x:c r="B38" s="11" t="n">
        <x:v>34</x:v>
      </x:c>
      <x:c r="C38" s="19" t="n">
        <x:f>IF(B38&lt;=10,0.9*B38+0.05*B38*(B38+1),14.5+1.9*(B38-10))</x:f>
        <x:v>60.099999999999994</x:v>
      </x:c>
      <x:c r="D38" s="19" t="n">
        <x:f>IF(B38&lt;=10,0.45*B38*(B38-1)+B38*(B38^2-1)/30,0.95*B38*(B38-1)-12)</x:f>
        <x:v>1053.8999999999999</x:v>
      </x:c>
    </x:row>
    <x:row r="39">
      <x:c r="B39" s="11" t="n">
        <x:v>35</x:v>
      </x:c>
      <x:c r="C39" s="19" t="n">
        <x:f>IF(B39&lt;=10,0.9*B39+0.05*B39*(B39+1),14.5+1.9*(B39-10))</x:f>
        <x:v>62</x:v>
      </x:c>
      <x:c r="D39" s="19" t="n">
        <x:f>IF(B39&lt;=10,0.45*B39*(B39-1)+B39*(B39^2-1)/30,0.95*B39*(B39-1)-12)</x:f>
        <x:v>1118.5</x:v>
      </x:c>
    </x:row>
    <x:row r="40">
      <x:c r="B40" s="11" t="n">
        <x:v>36</x:v>
      </x:c>
      <x:c r="C40" s="19" t="n">
        <x:f>IF(B40&lt;=10,0.9*B40+0.05*B40*(B40+1),14.5+1.9*(B40-10))</x:f>
        <x:v>63.9</x:v>
      </x:c>
      <x:c r="D40" s="19" t="n">
        <x:f>IF(B40&lt;=10,0.45*B40*(B40-1)+B40*(B40^2-1)/30,0.95*B40*(B40-1)-12)</x:f>
        <x:v>1184.9999999999998</x:v>
      </x:c>
    </x:row>
    <x:row r="41">
      <x:c r="B41" s="11" t="n">
        <x:v>37</x:v>
      </x:c>
      <x:c r="C41" s="19" t="n">
        <x:f>IF(B41&lt;=10,0.9*B41+0.05*B41*(B41+1),14.5+1.9*(B41-10))</x:f>
        <x:v>65.8</x:v>
      </x:c>
      <x:c r="D41" s="19" t="n">
        <x:f>IF(B41&lt;=10,0.45*B41*(B41-1)+B41*(B41^2-1)/30,0.95*B41*(B41-1)-12)</x:f>
        <x:v>1253.3999999999999</x:v>
      </x:c>
    </x:row>
    <x:row r="42">
      <x:c r="B42" s="11" t="n">
        <x:v>38</x:v>
      </x:c>
      <x:c r="C42" s="19" t="n">
        <x:f>IF(B42&lt;=10,0.9*B42+0.05*B42*(B42+1),14.5+1.9*(B42-10))</x:f>
        <x:v>67.69999999999999</x:v>
      </x:c>
      <x:c r="D42" s="19" t="n">
        <x:f>IF(B42&lt;=10,0.45*B42*(B42-1)+B42*(B42^2-1)/30,0.95*B42*(B42-1)-12)</x:f>
        <x:v>1323.7</x:v>
      </x:c>
    </x:row>
    <x:row r="43">
      <x:c r="B43" s="11" t="n">
        <x:v>39</x:v>
      </x:c>
      <x:c r="C43" s="19" t="n">
        <x:f>IF(B43&lt;=10,0.9*B43+0.05*B43*(B43+1),14.5+1.9*(B43-10))</x:f>
        <x:v>69.6</x:v>
      </x:c>
      <x:c r="D43" s="19" t="n">
        <x:f>IF(B43&lt;=10,0.45*B43*(B43-1)+B43*(B43^2-1)/30,0.95*B43*(B43-1)-12)</x:f>
        <x:v>1395.8999999999999</x:v>
      </x:c>
    </x:row>
    <x:row r="44">
      <x:c r="B44" s="11" t="n">
        <x:v>40</x:v>
      </x:c>
      <x:c r="C44" s="19" t="n">
        <x:f>IF(B44&lt;=10,0.9*B44+0.05*B44*(B44+1),14.5+1.9*(B44-10))</x:f>
        <x:v>71.5</x:v>
      </x:c>
      <x:c r="D44" s="19" t="n">
        <x:f>IF(B44&lt;=10,0.45*B44*(B44-1)+B44*(B44^2-1)/30,0.95*B44*(B44-1)-12)</x:f>
        <x:v>1470</x:v>
      </x:c>
    </x:row>
    <x:row r="45">
      <x:c r="B45" s="11" t="n">
        <x:v>41</x:v>
      </x:c>
      <x:c r="C45" s="19" t="n">
        <x:f>IF(B45&lt;=10,0.9*B45+0.05*B45*(B45+1),14.5+1.9*(B45-10))</x:f>
        <x:v>73.4</x:v>
      </x:c>
      <x:c r="D45" s="19" t="n">
        <x:f>IF(B45&lt;=10,0.45*B45*(B45-1)+B45*(B45^2-1)/30,0.95*B45*(B45-1)-12)</x:f>
        <x:v>1545.9999999999998</x:v>
      </x:c>
    </x:row>
    <x:row r="46">
      <x:c r="B46" s="11" t="n">
        <x:v>42</x:v>
      </x:c>
      <x:c r="C46" s="19" t="n">
        <x:f>IF(B46&lt;=10,0.9*B46+0.05*B46*(B46+1),14.5+1.9*(B46-10))</x:f>
        <x:v>75.3</x:v>
      </x:c>
      <x:c r="D46" s="19" t="n">
        <x:f>IF(B46&lt;=10,0.45*B46*(B46-1)+B46*(B46^2-1)/30,0.95*B46*(B46-1)-12)</x:f>
        <x:v>1623.8999999999999</x:v>
      </x:c>
    </x:row>
    <x:row r="47">
      <x:c r="B47" s="11" t="n">
        <x:v>43</x:v>
      </x:c>
      <x:c r="C47" s="19" t="n">
        <x:f>IF(B47&lt;=10,0.9*B47+0.05*B47*(B47+1),14.5+1.9*(B47-10))</x:f>
        <x:v>77.19999999999999</x:v>
      </x:c>
      <x:c r="D47" s="19" t="n">
        <x:f>IF(B47&lt;=10,0.45*B47*(B47-1)+B47*(B47^2-1)/30,0.95*B47*(B47-1)-12)</x:f>
        <x:v>1703.7</x:v>
      </x:c>
    </x:row>
    <x:row r="48">
      <x:c r="B48" s="11" t="n">
        <x:v>44</x:v>
      </x:c>
      <x:c r="C48" s="19" t="n">
        <x:f>IF(B48&lt;=10,0.9*B48+0.05*B48*(B48+1),14.5+1.9*(B48-10))</x:f>
        <x:v>79.1</x:v>
      </x:c>
      <x:c r="D48" s="19" t="n">
        <x:f>IF(B48&lt;=10,0.45*B48*(B48-1)+B48*(B48^2-1)/30,0.95*B48*(B48-1)-12)</x:f>
        <x:v>1785.3999999999999</x:v>
      </x:c>
    </x:row>
    <x:row r="49">
      <x:c r="B49" s="11" t="n">
        <x:v>45</x:v>
      </x:c>
      <x:c r="C49" s="19" t="n">
        <x:f>IF(B49&lt;=10,0.9*B49+0.05*B49*(B49+1),14.5+1.9*(B49-10))</x:f>
        <x:v>81</x:v>
      </x:c>
      <x:c r="D49" s="19" t="n">
        <x:f>IF(B49&lt;=10,0.45*B49*(B49-1)+B49*(B49^2-1)/30,0.95*B49*(B49-1)-12)</x:f>
        <x:v>1869</x:v>
      </x:c>
    </x:row>
    <x:row r="50">
      <x:c r="B50" s="11" t="n">
        <x:v>46</x:v>
      </x:c>
      <x:c r="C50" s="19" t="n">
        <x:f>IF(B50&lt;=10,0.9*B50+0.05*B50*(B50+1),14.5+1.9*(B50-10))</x:f>
        <x:v>82.89999999999999</x:v>
      </x:c>
      <x:c r="D50" s="19" t="n">
        <x:f>IF(B50&lt;=10,0.45*B50*(B50-1)+B50*(B50^2-1)/30,0.95*B50*(B50-1)-12)</x:f>
        <x:v>1954.4999999999998</x:v>
      </x:c>
    </x:row>
    <x:row r="51">
      <x:c r="B51" s="11" t="n">
        <x:v>47</x:v>
      </x:c>
      <x:c r="C51" s="19" t="n">
        <x:f>IF(B51&lt;=10,0.9*B51+0.05*B51*(B51+1),14.5+1.9*(B51-10))</x:f>
        <x:v>84.8</x:v>
      </x:c>
      <x:c r="D51" s="19" t="n">
        <x:f>IF(B51&lt;=10,0.45*B51*(B51-1)+B51*(B51^2-1)/30,0.95*B51*(B51-1)-12)</x:f>
        <x:v>2041.9</x:v>
      </x:c>
    </x:row>
    <x:row r="52">
      <x:c r="B52" s="11" t="n">
        <x:v>48</x:v>
      </x:c>
      <x:c r="C52" s="19" t="n">
        <x:f>IF(B52&lt;=10,0.9*B52+0.05*B52*(B52+1),14.5+1.9*(B52-10))</x:f>
        <x:v>86.7</x:v>
      </x:c>
      <x:c r="D52" s="19" t="n">
        <x:f>IF(B52&lt;=10,0.45*B52*(B52-1)+B52*(B52^2-1)/30,0.95*B52*(B52-1)-12)</x:f>
        <x:v>2131.2</x:v>
      </x:c>
    </x:row>
    <x:row r="53">
      <x:c r="B53" s="11" t="n">
        <x:v>49</x:v>
      </x:c>
      <x:c r="C53" s="19" t="n">
        <x:f>IF(B53&lt;=10,0.9*B53+0.05*B53*(B53+1),14.5+1.9*(B53-10))</x:f>
        <x:v>88.6</x:v>
      </x:c>
      <x:c r="D53" s="19" t="n">
        <x:f>IF(B53&lt;=10,0.45*B53*(B53-1)+B53*(B53^2-1)/30,0.95*B53*(B53-1)-12)</x:f>
        <x:v>2222.3999999999996</x:v>
      </x:c>
    </x:row>
    <x:row r="54">
      <x:c r="B54" s="11" t="n">
        <x:v>50</x:v>
      </x:c>
      <x:c r="C54" s="19" t="n">
        <x:f>IF(B54&lt;=10,0.9*B54+0.05*B54*(B54+1),14.5+1.9*(B54-10))</x:f>
        <x:v>90.5</x:v>
      </x:c>
      <x:c r="D54" s="19" t="n">
        <x:f>IF(B54&lt;=10,0.45*B54*(B54-1)+B54*(B54^2-1)/30,0.95*B54*(B54-1)-12)</x:f>
        <x:v>2315.5</x:v>
      </x:c>
    </x:row>
    <x:row r="55">
      <x:c r="B55" s="11" t="n">
        <x:v>51</x:v>
      </x:c>
      <x:c r="C55" s="19" t="n">
        <x:f>IF(B55&lt;=10,0.9*B55+0.05*B55*(B55+1),14.5+1.9*(B55-10))</x:f>
        <x:v>92.39999999999999</x:v>
      </x:c>
      <x:c r="D55" s="19" t="n">
        <x:f>IF(B55&lt;=10,0.45*B55*(B55-1)+B55*(B55^2-1)/30,0.95*B55*(B55-1)-12)</x:f>
        <x:v>2410.5</x:v>
      </x:c>
    </x:row>
    <x:row r="56">
      <x:c r="B56" s="11" t="n">
        <x:v>52</x:v>
      </x:c>
      <x:c r="C56" s="19" t="n">
        <x:f>IF(B56&lt;=10,0.9*B56+0.05*B56*(B56+1),14.5+1.9*(B56-10))</x:f>
        <x:v>94.3</x:v>
      </x:c>
      <x:c r="D56" s="19" t="n">
        <x:f>IF(B56&lt;=10,0.45*B56*(B56-1)+B56*(B56^2-1)/30,0.95*B56*(B56-1)-12)</x:f>
        <x:v>2507.4</x:v>
      </x:c>
    </x:row>
    <x:row r="57">
      <x:c r="B57" s="11" t="n">
        <x:v>53</x:v>
      </x:c>
      <x:c r="C57" s="19" t="n">
        <x:f>IF(B57&lt;=10,0.9*B57+0.05*B57*(B57+1),14.5+1.9*(B57-10))</x:f>
        <x:v>96.2</x:v>
      </x:c>
      <x:c r="D57" s="19" t="n">
        <x:f>IF(B57&lt;=10,0.45*B57*(B57-1)+B57*(B57^2-1)/30,0.95*B57*(B57-1)-12)</x:f>
        <x:v>2606.2</x:v>
      </x:c>
    </x:row>
    <x:row r="58">
      <x:c r="B58" s="11" t="n">
        <x:v>54</x:v>
      </x:c>
      <x:c r="C58" s="19" t="n">
        <x:f>IF(B58&lt;=10,0.9*B58+0.05*B58*(B58+1),14.5+1.9*(B58-10))</x:f>
        <x:v>98.1</x:v>
      </x:c>
      <x:c r="D58" s="19" t="n">
        <x:f>IF(B58&lt;=10,0.45*B58*(B58-1)+B58*(B58^2-1)/30,0.95*B58*(B58-1)-12)</x:f>
        <x:v>2706.8999999999996</x:v>
      </x:c>
    </x:row>
    <x:row r="59">
      <x:c r="B59" s="11" t="n">
        <x:v>55</x:v>
      </x:c>
      <x:c r="C59" s="19" t="n">
        <x:f>IF(B59&lt;=10,0.9*B59+0.05*B59*(B59+1),14.5+1.9*(B59-10))</x:f>
        <x:v>100</x:v>
      </x:c>
      <x:c r="D59" s="19" t="n">
        <x:f>IF(B59&lt;=10,0.45*B59*(B59-1)+B59*(B59^2-1)/30,0.95*B59*(B59-1)-12)</x:f>
        <x:v>2809.5</x:v>
      </x:c>
    </x:row>
    <x:row r="60">
      <x:c r="B60" s="11" t="n">
        <x:v>56</x:v>
      </x:c>
      <x:c r="C60" s="19" t="n">
        <x:f>IF(B60&lt;=10,0.9*B60+0.05*B60*(B60+1),14.5+1.9*(B60-10))</x:f>
        <x:v>101.89999999999999</x:v>
      </x:c>
      <x:c r="D60" s="19" t="n">
        <x:f>IF(B60&lt;=10,0.45*B60*(B60-1)+B60*(B60^2-1)/30,0.95*B60*(B60-1)-12)</x:f>
        <x:v>2913.9999999999995</x:v>
      </x:c>
    </x:row>
    <x:row r="61">
      <x:c r="B61" s="11" t="n">
        <x:v>57</x:v>
      </x:c>
      <x:c r="C61" s="19" t="n">
        <x:f>IF(B61&lt;=10,0.9*B61+0.05*B61*(B61+1),14.5+1.9*(B61-10))</x:f>
        <x:v>103.8</x:v>
      </x:c>
      <x:c r="D61" s="19" t="n">
        <x:f>IF(B61&lt;=10,0.45*B61*(B61-1)+B61*(B61^2-1)/30,0.95*B61*(B61-1)-12)</x:f>
        <x:v>3020.4</x:v>
      </x:c>
    </x:row>
    <x:row r="62">
      <x:c r="B62" s="11" t="n">
        <x:v>58</x:v>
      </x:c>
      <x:c r="C62" s="19" t="n">
        <x:f>IF(B62&lt;=10,0.9*B62+0.05*B62*(B62+1),14.5+1.9*(B62-10))</x:f>
        <x:v>105.69999999999999</x:v>
      </x:c>
      <x:c r="D62" s="19" t="n">
        <x:f>IF(B62&lt;=10,0.45*B62*(B62-1)+B62*(B62^2-1)/30,0.95*B62*(B62-1)-12)</x:f>
        <x:v>3128.7</x:v>
      </x:c>
    </x:row>
    <x:row r="63">
      <x:c r="B63" s="11" t="n">
        <x:v>59</x:v>
      </x:c>
      <x:c r="C63" s="19" t="n">
        <x:f>IF(B63&lt;=10,0.9*B63+0.05*B63*(B63+1),14.5+1.9*(B63-10))</x:f>
        <x:v>107.6</x:v>
      </x:c>
      <x:c r="D63" s="19" t="n">
        <x:f>IF(B63&lt;=10,0.45*B63*(B63-1)+B63*(B63^2-1)/30,0.95*B63*(B63-1)-12)</x:f>
        <x:v>3238.8999999999996</x:v>
      </x:c>
    </x:row>
    <x:row r="64">
      <x:c r="B64" s="11" t="n">
        <x:v>60</x:v>
      </x:c>
      <x:c r="C64" s="19" t="n">
        <x:f>IF(B64&lt;=10,0.9*B64+0.05*B64*(B64+1),14.5+1.9*(B64-10))</x:f>
        <x:v>109.5</x:v>
      </x:c>
      <x:c r="D64" s="19" t="n">
        <x:f>IF(B64&lt;=10,0.45*B64*(B64-1)+B64*(B64^2-1)/30,0.95*B64*(B64-1)-12)</x:f>
        <x:v>3351</x:v>
      </x:c>
    </x:row>
  </x:sheetData>
  <x:mergeCells>
    <x:mergeCell ref="B3:D3"/>
    <x:mergeCell ref="B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2" max="2" width="7" customWidth="1"/>
    <x:col min="3" max="3" width="9" customWidth="1"/>
    <x:col min="4" max="4" width="9" customWidth="1"/>
    <x:col min="5" max="5" width="9" customWidth="1"/>
    <x:col min="6" max="6" width="8" customWidth="1"/>
    <x:col min="7" max="7" width="8" customWidth="1"/>
    <x:col min="8" max="8" width="9" customWidth="1"/>
    <x:col min="9" max="9" width="11" customWidth="1"/>
    <x:col min="10" max="10" width="11" customWidth="1"/>
  </x:cols>
  <x:sheetData>
    <x:row r="2" ht="30" customHeight="1">
      <x:c r="B2" s="8" t="inlineStr">
        <x:is>
          <x:t xml:space="preserve">无尽模式难度曲线（第 1~40 波）</x:t>
        </x:is>
      </x:c>
    </x:row>
    <x:row r="3">
      <x:c r="B3" s="9" t="inlineStr">
        <x:is>
          <x:t xml:space="preserve">第 15/25/35 波为高压波（蓝底）。参考时长仅为对账口径，实际无尽连续计时不清零；预期清关为模型估算值</x:t>
        </x:is>
      </x:c>
    </x:row>
    <x:row r="4">
      <x:c r="B4" s="10" t="inlineStr">
        <x:is>
          <x:t xml:space="preserve">波次</x:t>
        </x:is>
      </x:c>
      <x:c r="C4" s="10" t="inlineStr">
        <x:is>
          <x:t xml:space="preserve">目标种类</x:t>
        </x:is>
      </x:c>
      <x:c r="D4" s="10" t="inlineStr">
        <x:is>
          <x:t xml:space="preserve">每种份数</x:t>
        </x:is>
      </x:c>
      <x:c r="E4" s="10" t="inlineStr">
        <x:is>
          <x:t xml:space="preserve">目标总数</x:t>
        </x:is>
      </x:c>
      <x:c r="F4" s="10" t="inlineStr">
        <x:is>
          <x:t xml:space="preserve">干扰项</x:t>
        </x:is>
      </x:c>
      <x:c r="G4" s="10" t="inlineStr">
        <x:is>
          <x:t xml:space="preserve">跨主题</x:t>
        </x:is>
      </x:c>
      <x:c r="H4" s="10" t="inlineStr">
        <x:is>
          <x:t xml:space="preserve">类型系数</x:t>
        </x:is>
      </x:c>
      <x:c r="I4" s="10" t="inlineStr">
        <x:is>
          <x:t xml:space="preserve">参考时长(秒)</x:t>
        </x:is>
      </x:c>
      <x:c r="J4" s="10" t="inlineStr">
        <x:is>
          <x:t xml:space="preserve">预期清关(秒)</x:t>
        </x:is>
      </x:c>
    </x:row>
    <x:row r="5">
      <x:c r="B5" s="11" t="n">
        <x:v>1</x:v>
      </x:c>
      <x:c r="C5" s="11" t="n">
        <x:v>3</x:v>
      </x:c>
      <x:c r="D5" s="11" t="n">
        <x:v>1</x:v>
      </x:c>
      <x:c r="E5" s="12" t="n">
        <x:f>C5*D5</x:f>
        <x:v>3</x:v>
      </x:c>
      <x:c r="F5" s="11" t="n">
        <x:v>30</x:v>
      </x:c>
      <x:c r="G5" s="11" t="n">
        <x:v>0</x:v>
      </x:c>
      <x:c r="H5" s="11" t="n">
        <x:v>1</x:v>
      </x:c>
      <x:c r="I5" s="12" t="n">
        <x:f>ROUND((45+E5*8)*H5,0)</x:f>
        <x:v>69</x:v>
      </x:c>
      <x:c r="J5" s="11" t="n">
        <x:v>12.3</x:v>
      </x:c>
    </x:row>
    <x:row r="6">
      <x:c r="B6" s="13" t="n">
        <x:v>2</x:v>
      </x:c>
      <x:c r="C6" s="13" t="n">
        <x:v>3</x:v>
      </x:c>
      <x:c r="D6" s="13" t="n">
        <x:v>1</x:v>
      </x:c>
      <x:c r="E6" s="14" t="n">
        <x:f>C6*D6</x:f>
        <x:v>3</x:v>
      </x:c>
      <x:c r="F6" s="13" t="n">
        <x:v>34</x:v>
      </x:c>
      <x:c r="G6" s="13" t="n">
        <x:v>0</x:v>
      </x:c>
      <x:c r="H6" s="13" t="n">
        <x:v>1</x:v>
      </x:c>
      <x:c r="I6" s="14" t="n">
        <x:f>ROUND((45+E6*8)*H6,0)</x:f>
        <x:v>69</x:v>
      </x:c>
      <x:c r="J6" s="13" t="n">
        <x:v>12.5</x:v>
      </x:c>
    </x:row>
    <x:row r="7">
      <x:c r="B7" s="11" t="n">
        <x:v>3</x:v>
      </x:c>
      <x:c r="C7" s="11" t="n">
        <x:v>3</x:v>
      </x:c>
      <x:c r="D7" s="11" t="n">
        <x:v>2</x:v>
      </x:c>
      <x:c r="E7" s="12" t="n">
        <x:f>C7*D7</x:f>
        <x:v>6</x:v>
      </x:c>
      <x:c r="F7" s="11" t="n">
        <x:v>38</x:v>
      </x:c>
      <x:c r="G7" s="11" t="n">
        <x:v>1</x:v>
      </x:c>
      <x:c r="H7" s="11" t="n">
        <x:v>1</x:v>
      </x:c>
      <x:c r="I7" s="12" t="n">
        <x:f>ROUND((45+E7*8)*H7,0)</x:f>
        <x:v>93</x:v>
      </x:c>
      <x:c r="J7" s="11" t="n">
        <x:v>21.3</x:v>
      </x:c>
    </x:row>
    <x:row r="8">
      <x:c r="B8" s="13" t="n">
        <x:v>4</x:v>
      </x:c>
      <x:c r="C8" s="13" t="n">
        <x:v>3</x:v>
      </x:c>
      <x:c r="D8" s="13" t="n">
        <x:v>2</x:v>
      </x:c>
      <x:c r="E8" s="14" t="n">
        <x:f>C8*D8</x:f>
        <x:v>6</x:v>
      </x:c>
      <x:c r="F8" s="13" t="n">
        <x:v>42</x:v>
      </x:c>
      <x:c r="G8" s="13" t="n">
        <x:v>1</x:v>
      </x:c>
      <x:c r="H8" s="13" t="n">
        <x:v>1</x:v>
      </x:c>
      <x:c r="I8" s="14" t="n">
        <x:f>ROUND((45+E8*8)*H8,0)</x:f>
        <x:v>93</x:v>
      </x:c>
      <x:c r="J8" s="13" t="n">
        <x:v>21.7</x:v>
      </x:c>
    </x:row>
    <x:row r="9">
      <x:c r="B9" s="11" t="n">
        <x:v>5</x:v>
      </x:c>
      <x:c r="C9" s="11" t="n">
        <x:v>4</x:v>
      </x:c>
      <x:c r="D9" s="11" t="n">
        <x:v>2</x:v>
      </x:c>
      <x:c r="E9" s="12" t="n">
        <x:f>C9*D9</x:f>
        <x:v>8</x:v>
      </x:c>
      <x:c r="F9" s="11" t="n">
        <x:v>46</x:v>
      </x:c>
      <x:c r="G9" s="11" t="n">
        <x:v>1</x:v>
      </x:c>
      <x:c r="H9" s="11" t="n">
        <x:v>1</x:v>
      </x:c>
      <x:c r="I9" s="12" t="n">
        <x:f>ROUND((45+E9*8)*H9,0)</x:f>
        <x:v>109</x:v>
      </x:c>
      <x:c r="J9" s="11" t="n">
        <x:v>28.4</x:v>
      </x:c>
    </x:row>
    <x:row r="10">
      <x:c r="B10" s="13" t="n">
        <x:v>6</x:v>
      </x:c>
      <x:c r="C10" s="13" t="n">
        <x:v>4</x:v>
      </x:c>
      <x:c r="D10" s="13" t="n">
        <x:v>2</x:v>
      </x:c>
      <x:c r="E10" s="14" t="n">
        <x:f>C10*D10</x:f>
        <x:v>8</x:v>
      </x:c>
      <x:c r="F10" s="13" t="n">
        <x:v>50</x:v>
      </x:c>
      <x:c r="G10" s="13" t="n">
        <x:v>1</x:v>
      </x:c>
      <x:c r="H10" s="13" t="n">
        <x:v>1</x:v>
      </x:c>
      <x:c r="I10" s="14" t="n">
        <x:f>ROUND((45+E10*8)*H10,0)</x:f>
        <x:v>109</x:v>
      </x:c>
      <x:c r="J10" s="13" t="n">
        <x:v>28.9</x:v>
      </x:c>
    </x:row>
    <x:row r="11">
      <x:c r="B11" s="11" t="n">
        <x:v>7</x:v>
      </x:c>
      <x:c r="C11" s="11" t="n">
        <x:v>4</x:v>
      </x:c>
      <x:c r="D11" s="11" t="n">
        <x:v>2</x:v>
      </x:c>
      <x:c r="E11" s="12" t="n">
        <x:f>C11*D11</x:f>
        <x:v>8</x:v>
      </x:c>
      <x:c r="F11" s="11" t="n">
        <x:v>54</x:v>
      </x:c>
      <x:c r="G11" s="11" t="n">
        <x:v>1</x:v>
      </x:c>
      <x:c r="H11" s="11" t="n">
        <x:v>1</x:v>
      </x:c>
      <x:c r="I11" s="12" t="n">
        <x:f>ROUND((45+E11*8)*H11,0)</x:f>
        <x:v>109</x:v>
      </x:c>
      <x:c r="J11" s="11" t="n">
        <x:v>29.5</x:v>
      </x:c>
    </x:row>
    <x:row r="12">
      <x:c r="B12" s="13" t="n">
        <x:v>8</x:v>
      </x:c>
      <x:c r="C12" s="13" t="n">
        <x:v>4</x:v>
      </x:c>
      <x:c r="D12" s="13" t="n">
        <x:v>2</x:v>
      </x:c>
      <x:c r="E12" s="14" t="n">
        <x:f>C12*D12</x:f>
        <x:v>8</x:v>
      </x:c>
      <x:c r="F12" s="13" t="n">
        <x:v>58</x:v>
      </x:c>
      <x:c r="G12" s="13" t="n">
        <x:v>1</x:v>
      </x:c>
      <x:c r="H12" s="13" t="n">
        <x:v>1</x:v>
      </x:c>
      <x:c r="I12" s="14" t="n">
        <x:f>ROUND((45+E12*8)*H12,0)</x:f>
        <x:v>109</x:v>
      </x:c>
      <x:c r="J12" s="13" t="n">
        <x:v>30.1</x:v>
      </x:c>
    </x:row>
    <x:row r="13">
      <x:c r="B13" s="11" t="n">
        <x:v>9</x:v>
      </x:c>
      <x:c r="C13" s="11" t="n">
        <x:v>5</x:v>
      </x:c>
      <x:c r="D13" s="11" t="n">
        <x:v>2</x:v>
      </x:c>
      <x:c r="E13" s="12" t="n">
        <x:f>C13*D13</x:f>
        <x:v>10</x:v>
      </x:c>
      <x:c r="F13" s="11" t="n">
        <x:v>62</x:v>
      </x:c>
      <x:c r="G13" s="11" t="n">
        <x:v>1</x:v>
      </x:c>
      <x:c r="H13" s="11" t="n">
        <x:v>1</x:v>
      </x:c>
      <x:c r="I13" s="12" t="n">
        <x:f>ROUND((45+E13*8)*H13,0)</x:f>
        <x:v>125</x:v>
      </x:c>
      <x:c r="J13" s="11" t="n">
        <x:v>37.6</x:v>
      </x:c>
    </x:row>
    <x:row r="14">
      <x:c r="B14" s="13" t="n">
        <x:v>10</x:v>
      </x:c>
      <x:c r="C14" s="13" t="n">
        <x:v>5</x:v>
      </x:c>
      <x:c r="D14" s="13" t="n">
        <x:v>2</x:v>
      </x:c>
      <x:c r="E14" s="14" t="n">
        <x:f>C14*D14</x:f>
        <x:v>10</x:v>
      </x:c>
      <x:c r="F14" s="13" t="n">
        <x:v>66</x:v>
      </x:c>
      <x:c r="G14" s="13" t="n">
        <x:v>1</x:v>
      </x:c>
      <x:c r="H14" s="13" t="n">
        <x:v>1</x:v>
      </x:c>
      <x:c r="I14" s="14" t="n">
        <x:f>ROUND((45+E14*8)*H14,0)</x:f>
        <x:v>125</x:v>
      </x:c>
      <x:c r="J14" s="13" t="n">
        <x:v>39.8</x:v>
      </x:c>
    </x:row>
    <x:row r="15">
      <x:c r="B15" s="11" t="n">
        <x:v>11</x:v>
      </x:c>
      <x:c r="C15" s="11" t="n">
        <x:v>5</x:v>
      </x:c>
      <x:c r="D15" s="11" t="n">
        <x:v>2</x:v>
      </x:c>
      <x:c r="E15" s="12" t="n">
        <x:f>C15*D15</x:f>
        <x:v>10</x:v>
      </x:c>
      <x:c r="F15" s="11" t="n">
        <x:v>70</x:v>
      </x:c>
      <x:c r="G15" s="11" t="n">
        <x:v>1</x:v>
      </x:c>
      <x:c r="H15" s="11" t="n">
        <x:v>1</x:v>
      </x:c>
      <x:c r="I15" s="12" t="n">
        <x:f>ROUND((45+E15*8)*H15,0)</x:f>
        <x:v>125</x:v>
      </x:c>
      <x:c r="J15" s="11" t="n">
        <x:v>40.5</x:v>
      </x:c>
    </x:row>
    <x:row r="16">
      <x:c r="B16" s="13" t="n">
        <x:v>12</x:v>
      </x:c>
      <x:c r="C16" s="13" t="n">
        <x:v>5</x:v>
      </x:c>
      <x:c r="D16" s="13" t="n">
        <x:v>2</x:v>
      </x:c>
      <x:c r="E16" s="14" t="n">
        <x:f>C16*D16</x:f>
        <x:v>10</x:v>
      </x:c>
      <x:c r="F16" s="13" t="n">
        <x:v>74</x:v>
      </x:c>
      <x:c r="G16" s="13" t="n">
        <x:v>1</x:v>
      </x:c>
      <x:c r="H16" s="13" t="n">
        <x:v>1</x:v>
      </x:c>
      <x:c r="I16" s="14" t="n">
        <x:f>ROUND((45+E16*8)*H16,0)</x:f>
        <x:v>125</x:v>
      </x:c>
      <x:c r="J16" s="13" t="n">
        <x:v>41.3</x:v>
      </x:c>
    </x:row>
    <x:row r="17">
      <x:c r="B17" s="11" t="n">
        <x:v>13</x:v>
      </x:c>
      <x:c r="C17" s="11" t="n">
        <x:v>5</x:v>
      </x:c>
      <x:c r="D17" s="11" t="n">
        <x:v>2</x:v>
      </x:c>
      <x:c r="E17" s="12" t="n">
        <x:f>C17*D17</x:f>
        <x:v>10</x:v>
      </x:c>
      <x:c r="F17" s="11" t="n">
        <x:v>78</x:v>
      </x:c>
      <x:c r="G17" s="11" t="n">
        <x:v>1</x:v>
      </x:c>
      <x:c r="H17" s="11" t="n">
        <x:v>1</x:v>
      </x:c>
      <x:c r="I17" s="12" t="n">
        <x:f>ROUND((45+E17*8)*H17,0)</x:f>
        <x:v>125</x:v>
      </x:c>
      <x:c r="J17" s="11" t="n">
        <x:v>42</x:v>
      </x:c>
    </x:row>
    <x:row r="18">
      <x:c r="B18" s="13" t="n">
        <x:v>14</x:v>
      </x:c>
      <x:c r="C18" s="13" t="n">
        <x:v>5</x:v>
      </x:c>
      <x:c r="D18" s="13" t="n">
        <x:v>2</x:v>
      </x:c>
      <x:c r="E18" s="14" t="n">
        <x:f>C18*D18</x:f>
        <x:v>10</x:v>
      </x:c>
      <x:c r="F18" s="13" t="n">
        <x:v>82</x:v>
      </x:c>
      <x:c r="G18" s="13" t="n">
        <x:v>1</x:v>
      </x:c>
      <x:c r="H18" s="13" t="n">
        <x:v>1</x:v>
      </x:c>
      <x:c r="I18" s="14" t="n">
        <x:f>ROUND((45+E18*8)*H18,0)</x:f>
        <x:v>125</x:v>
      </x:c>
      <x:c r="J18" s="13" t="n">
        <x:v>42.7</x:v>
      </x:c>
    </x:row>
    <x:row r="19">
      <x:c r="B19" s="16" t="n">
        <x:v>15</x:v>
      </x:c>
      <x:c r="C19" s="16" t="n">
        <x:v>5</x:v>
      </x:c>
      <x:c r="D19" s="16" t="n">
        <x:v>3</x:v>
      </x:c>
      <x:c r="E19" s="17" t="n">
        <x:f>C19*D19</x:f>
        <x:v>15</x:v>
      </x:c>
      <x:c r="F19" s="16" t="n">
        <x:v>96</x:v>
      </x:c>
      <x:c r="G19" s="16" t="n">
        <x:v>1</x:v>
      </x:c>
      <x:c r="H19" s="16" t="n">
        <x:v>1</x:v>
      </x:c>
      <x:c r="I19" s="17" t="n">
        <x:f>ROUND((45+E19*8)*H19,0)</x:f>
        <x:v>165</x:v>
      </x:c>
      <x:c r="J19" s="16" t="n">
        <x:v>66.3</x:v>
      </x:c>
    </x:row>
    <x:row r="20">
      <x:c r="B20" s="13" t="n">
        <x:v>16</x:v>
      </x:c>
      <x:c r="C20" s="13" t="n">
        <x:v>5</x:v>
      </x:c>
      <x:c r="D20" s="13" t="n">
        <x:v>2</x:v>
      </x:c>
      <x:c r="E20" s="14" t="n">
        <x:f>C20*D20</x:f>
        <x:v>10</x:v>
      </x:c>
      <x:c r="F20" s="13" t="n">
        <x:v>90</x:v>
      </x:c>
      <x:c r="G20" s="13" t="n">
        <x:v>1</x:v>
      </x:c>
      <x:c r="H20" s="13" t="n">
        <x:v>1</x:v>
      </x:c>
      <x:c r="I20" s="14" t="n">
        <x:f>ROUND((45+E20*8)*H20,0)</x:f>
        <x:v>125</x:v>
      </x:c>
      <x:c r="J20" s="13" t="n">
        <x:v>44.2</x:v>
      </x:c>
    </x:row>
    <x:row r="21">
      <x:c r="B21" s="11" t="n">
        <x:v>17</x:v>
      </x:c>
      <x:c r="C21" s="11" t="n">
        <x:v>5</x:v>
      </x:c>
      <x:c r="D21" s="11" t="n">
        <x:v>2</x:v>
      </x:c>
      <x:c r="E21" s="12" t="n">
        <x:f>C21*D21</x:f>
        <x:v>10</x:v>
      </x:c>
      <x:c r="F21" s="11" t="n">
        <x:v>90</x:v>
      </x:c>
      <x:c r="G21" s="11" t="n">
        <x:v>1</x:v>
      </x:c>
      <x:c r="H21" s="11" t="n">
        <x:v>1</x:v>
      </x:c>
      <x:c r="I21" s="12" t="n">
        <x:f>ROUND((45+E21*8)*H21,0)</x:f>
        <x:v>125</x:v>
      </x:c>
      <x:c r="J21" s="11" t="n">
        <x:v>44.2</x:v>
      </x:c>
    </x:row>
    <x:row r="22">
      <x:c r="B22" s="13" t="n">
        <x:v>18</x:v>
      </x:c>
      <x:c r="C22" s="13" t="n">
        <x:v>5</x:v>
      </x:c>
      <x:c r="D22" s="13" t="n">
        <x:v>2</x:v>
      </x:c>
      <x:c r="E22" s="14" t="n">
        <x:f>C22*D22</x:f>
        <x:v>10</x:v>
      </x:c>
      <x:c r="F22" s="13" t="n">
        <x:v>90</x:v>
      </x:c>
      <x:c r="G22" s="13" t="n">
        <x:v>1</x:v>
      </x:c>
      <x:c r="H22" s="13" t="n">
        <x:v>1</x:v>
      </x:c>
      <x:c r="I22" s="14" t="n">
        <x:f>ROUND((45+E22*8)*H22,0)</x:f>
        <x:v>125</x:v>
      </x:c>
      <x:c r="J22" s="13" t="n">
        <x:v>44.2</x:v>
      </x:c>
    </x:row>
    <x:row r="23">
      <x:c r="B23" s="11" t="n">
        <x:v>19</x:v>
      </x:c>
      <x:c r="C23" s="11" t="n">
        <x:v>5</x:v>
      </x:c>
      <x:c r="D23" s="11" t="n">
        <x:v>2</x:v>
      </x:c>
      <x:c r="E23" s="12" t="n">
        <x:f>C23*D23</x:f>
        <x:v>10</x:v>
      </x:c>
      <x:c r="F23" s="11" t="n">
        <x:v>90</x:v>
      </x:c>
      <x:c r="G23" s="11" t="n">
        <x:v>1</x:v>
      </x:c>
      <x:c r="H23" s="11" t="n">
        <x:v>1</x:v>
      </x:c>
      <x:c r="I23" s="12" t="n">
        <x:f>ROUND((45+E23*8)*H23,0)</x:f>
        <x:v>125</x:v>
      </x:c>
      <x:c r="J23" s="11" t="n">
        <x:v>44.2</x:v>
      </x:c>
    </x:row>
    <x:row r="24">
      <x:c r="B24" s="13" t="n">
        <x:v>20</x:v>
      </x:c>
      <x:c r="C24" s="13" t="n">
        <x:v>5</x:v>
      </x:c>
      <x:c r="D24" s="13" t="n">
        <x:v>2</x:v>
      </x:c>
      <x:c r="E24" s="14" t="n">
        <x:f>C24*D24</x:f>
        <x:v>10</x:v>
      </x:c>
      <x:c r="F24" s="13" t="n">
        <x:v>90</x:v>
      </x:c>
      <x:c r="G24" s="13" t="n">
        <x:v>1</x:v>
      </x:c>
      <x:c r="H24" s="13" t="n">
        <x:v>1</x:v>
      </x:c>
      <x:c r="I24" s="14" t="n">
        <x:f>ROUND((45+E24*8)*H24,0)</x:f>
        <x:v>125</x:v>
      </x:c>
      <x:c r="J24" s="13" t="n">
        <x:v>44.2</x:v>
      </x:c>
    </x:row>
    <x:row r="25">
      <x:c r="B25" s="11" t="n">
        <x:v>21</x:v>
      </x:c>
      <x:c r="C25" s="11" t="n">
        <x:v>5</x:v>
      </x:c>
      <x:c r="D25" s="11" t="n">
        <x:v>2</x:v>
      </x:c>
      <x:c r="E25" s="12" t="n">
        <x:f>C25*D25</x:f>
        <x:v>10</x:v>
      </x:c>
      <x:c r="F25" s="11" t="n">
        <x:v>90</x:v>
      </x:c>
      <x:c r="G25" s="11" t="n">
        <x:v>1</x:v>
      </x:c>
      <x:c r="H25" s="11" t="n">
        <x:v>1</x:v>
      </x:c>
      <x:c r="I25" s="12" t="n">
        <x:f>ROUND((45+E25*8)*H25,0)</x:f>
        <x:v>125</x:v>
      </x:c>
      <x:c r="J25" s="11" t="n">
        <x:v>44.2</x:v>
      </x:c>
    </x:row>
    <x:row r="26">
      <x:c r="B26" s="13" t="n">
        <x:v>22</x:v>
      </x:c>
      <x:c r="C26" s="13" t="n">
        <x:v>5</x:v>
      </x:c>
      <x:c r="D26" s="13" t="n">
        <x:v>2</x:v>
      </x:c>
      <x:c r="E26" s="14" t="n">
        <x:f>C26*D26</x:f>
        <x:v>10</x:v>
      </x:c>
      <x:c r="F26" s="13" t="n">
        <x:v>90</x:v>
      </x:c>
      <x:c r="G26" s="13" t="n">
        <x:v>1</x:v>
      </x:c>
      <x:c r="H26" s="13" t="n">
        <x:v>1</x:v>
      </x:c>
      <x:c r="I26" s="14" t="n">
        <x:f>ROUND((45+E26*8)*H26,0)</x:f>
        <x:v>125</x:v>
      </x:c>
      <x:c r="J26" s="13" t="n">
        <x:v>44.2</x:v>
      </x:c>
    </x:row>
    <x:row r="27">
      <x:c r="B27" s="11" t="n">
        <x:v>23</x:v>
      </x:c>
      <x:c r="C27" s="11" t="n">
        <x:v>5</x:v>
      </x:c>
      <x:c r="D27" s="11" t="n">
        <x:v>2</x:v>
      </x:c>
      <x:c r="E27" s="12" t="n">
        <x:f>C27*D27</x:f>
        <x:v>10</x:v>
      </x:c>
      <x:c r="F27" s="11" t="n">
        <x:v>90</x:v>
      </x:c>
      <x:c r="G27" s="11" t="n">
        <x:v>1</x:v>
      </x:c>
      <x:c r="H27" s="11" t="n">
        <x:v>1</x:v>
      </x:c>
      <x:c r="I27" s="12" t="n">
        <x:f>ROUND((45+E27*8)*H27,0)</x:f>
        <x:v>125</x:v>
      </x:c>
      <x:c r="J27" s="11" t="n">
        <x:v>44.2</x:v>
      </x:c>
    </x:row>
    <x:row r="28">
      <x:c r="B28" s="13" t="n">
        <x:v>24</x:v>
      </x:c>
      <x:c r="C28" s="13" t="n">
        <x:v>5</x:v>
      </x:c>
      <x:c r="D28" s="13" t="n">
        <x:v>2</x:v>
      </x:c>
      <x:c r="E28" s="14" t="n">
        <x:f>C28*D28</x:f>
        <x:v>10</x:v>
      </x:c>
      <x:c r="F28" s="13" t="n">
        <x:v>90</x:v>
      </x:c>
      <x:c r="G28" s="13" t="n">
        <x:v>1</x:v>
      </x:c>
      <x:c r="H28" s="13" t="n">
        <x:v>1</x:v>
      </x:c>
      <x:c r="I28" s="14" t="n">
        <x:f>ROUND((45+E28*8)*H28,0)</x:f>
        <x:v>125</x:v>
      </x:c>
      <x:c r="J28" s="13" t="n">
        <x:v>44.2</x:v>
      </x:c>
    </x:row>
    <x:row r="29">
      <x:c r="B29" s="16" t="n">
        <x:v>25</x:v>
      </x:c>
      <x:c r="C29" s="16" t="n">
        <x:v>5</x:v>
      </x:c>
      <x:c r="D29" s="16" t="n">
        <x:v>3</x:v>
      </x:c>
      <x:c r="E29" s="17" t="n">
        <x:f>C29*D29</x:f>
        <x:v>15</x:v>
      </x:c>
      <x:c r="F29" s="16" t="n">
        <x:v>100</x:v>
      </x:c>
      <x:c r="G29" s="16" t="n">
        <x:v>1</x:v>
      </x:c>
      <x:c r="H29" s="16" t="n">
        <x:v>1</x:v>
      </x:c>
      <x:c r="I29" s="17" t="n">
        <x:f>ROUND((45+E29*8)*H29,0)</x:f>
        <x:v>165</x:v>
      </x:c>
      <x:c r="J29" s="16" t="n">
        <x:v>67.40000000000001</x:v>
      </x:c>
    </x:row>
    <x:row r="30">
      <x:c r="B30" s="13" t="n">
        <x:v>26</x:v>
      </x:c>
      <x:c r="C30" s="13" t="n">
        <x:v>5</x:v>
      </x:c>
      <x:c r="D30" s="13" t="n">
        <x:v>2</x:v>
      </x:c>
      <x:c r="E30" s="14" t="n">
        <x:f>C30*D30</x:f>
        <x:v>10</x:v>
      </x:c>
      <x:c r="F30" s="13" t="n">
        <x:v>90</x:v>
      </x:c>
      <x:c r="G30" s="13" t="n">
        <x:v>1</x:v>
      </x:c>
      <x:c r="H30" s="13" t="n">
        <x:v>1</x:v>
      </x:c>
      <x:c r="I30" s="14" t="n">
        <x:f>ROUND((45+E30*8)*H30,0)</x:f>
        <x:v>125</x:v>
      </x:c>
      <x:c r="J30" s="13" t="n">
        <x:v>44.2</x:v>
      </x:c>
    </x:row>
    <x:row r="31">
      <x:c r="B31" s="11" t="n">
        <x:v>27</x:v>
      </x:c>
      <x:c r="C31" s="11" t="n">
        <x:v>5</x:v>
      </x:c>
      <x:c r="D31" s="11" t="n">
        <x:v>2</x:v>
      </x:c>
      <x:c r="E31" s="12" t="n">
        <x:f>C31*D31</x:f>
        <x:v>10</x:v>
      </x:c>
      <x:c r="F31" s="11" t="n">
        <x:v>90</x:v>
      </x:c>
      <x:c r="G31" s="11" t="n">
        <x:v>1</x:v>
      </x:c>
      <x:c r="H31" s="11" t="n">
        <x:v>1</x:v>
      </x:c>
      <x:c r="I31" s="12" t="n">
        <x:f>ROUND((45+E31*8)*H31,0)</x:f>
        <x:v>125</x:v>
      </x:c>
      <x:c r="J31" s="11" t="n">
        <x:v>44.2</x:v>
      </x:c>
    </x:row>
    <x:row r="32">
      <x:c r="B32" s="13" t="n">
        <x:v>28</x:v>
      </x:c>
      <x:c r="C32" s="13" t="n">
        <x:v>5</x:v>
      </x:c>
      <x:c r="D32" s="13" t="n">
        <x:v>2</x:v>
      </x:c>
      <x:c r="E32" s="14" t="n">
        <x:f>C32*D32</x:f>
        <x:v>10</x:v>
      </x:c>
      <x:c r="F32" s="13" t="n">
        <x:v>90</x:v>
      </x:c>
      <x:c r="G32" s="13" t="n">
        <x:v>1</x:v>
      </x:c>
      <x:c r="H32" s="13" t="n">
        <x:v>1</x:v>
      </x:c>
      <x:c r="I32" s="14" t="n">
        <x:f>ROUND((45+E32*8)*H32,0)</x:f>
        <x:v>125</x:v>
      </x:c>
      <x:c r="J32" s="13" t="n">
        <x:v>44.2</x:v>
      </x:c>
    </x:row>
    <x:row r="33">
      <x:c r="B33" s="11" t="n">
        <x:v>29</x:v>
      </x:c>
      <x:c r="C33" s="11" t="n">
        <x:v>5</x:v>
      </x:c>
      <x:c r="D33" s="11" t="n">
        <x:v>2</x:v>
      </x:c>
      <x:c r="E33" s="12" t="n">
        <x:f>C33*D33</x:f>
        <x:v>10</x:v>
      </x:c>
      <x:c r="F33" s="11" t="n">
        <x:v>90</x:v>
      </x:c>
      <x:c r="G33" s="11" t="n">
        <x:v>1</x:v>
      </x:c>
      <x:c r="H33" s="11" t="n">
        <x:v>1</x:v>
      </x:c>
      <x:c r="I33" s="12" t="n">
        <x:f>ROUND((45+E33*8)*H33,0)</x:f>
        <x:v>125</x:v>
      </x:c>
      <x:c r="J33" s="11" t="n">
        <x:v>44.2</x:v>
      </x:c>
    </x:row>
    <x:row r="34">
      <x:c r="B34" s="13" t="n">
        <x:v>30</x:v>
      </x:c>
      <x:c r="C34" s="13" t="n">
        <x:v>5</x:v>
      </x:c>
      <x:c r="D34" s="13" t="n">
        <x:v>2</x:v>
      </x:c>
      <x:c r="E34" s="14" t="n">
        <x:f>C34*D34</x:f>
        <x:v>10</x:v>
      </x:c>
      <x:c r="F34" s="13" t="n">
        <x:v>90</x:v>
      </x:c>
      <x:c r="G34" s="13" t="n">
        <x:v>1</x:v>
      </x:c>
      <x:c r="H34" s="13" t="n">
        <x:v>1</x:v>
      </x:c>
      <x:c r="I34" s="14" t="n">
        <x:f>ROUND((45+E34*8)*H34,0)</x:f>
        <x:v>125</x:v>
      </x:c>
      <x:c r="J34" s="13" t="n">
        <x:v>44.2</x:v>
      </x:c>
    </x:row>
    <x:row r="35">
      <x:c r="B35" s="11" t="n">
        <x:v>31</x:v>
      </x:c>
      <x:c r="C35" s="11" t="n">
        <x:v>5</x:v>
      </x:c>
      <x:c r="D35" s="11" t="n">
        <x:v>2</x:v>
      </x:c>
      <x:c r="E35" s="12" t="n">
        <x:f>C35*D35</x:f>
        <x:v>10</x:v>
      </x:c>
      <x:c r="F35" s="11" t="n">
        <x:v>90</x:v>
      </x:c>
      <x:c r="G35" s="11" t="n">
        <x:v>1</x:v>
      </x:c>
      <x:c r="H35" s="11" t="n">
        <x:v>1</x:v>
      </x:c>
      <x:c r="I35" s="12" t="n">
        <x:f>ROUND((45+E35*8)*H35,0)</x:f>
        <x:v>125</x:v>
      </x:c>
      <x:c r="J35" s="11" t="n">
        <x:v>44.2</x:v>
      </x:c>
    </x:row>
    <x:row r="36">
      <x:c r="B36" s="13" t="n">
        <x:v>32</x:v>
      </x:c>
      <x:c r="C36" s="13" t="n">
        <x:v>5</x:v>
      </x:c>
      <x:c r="D36" s="13" t="n">
        <x:v>2</x:v>
      </x:c>
      <x:c r="E36" s="14" t="n">
        <x:f>C36*D36</x:f>
        <x:v>10</x:v>
      </x:c>
      <x:c r="F36" s="13" t="n">
        <x:v>90</x:v>
      </x:c>
      <x:c r="G36" s="13" t="n">
        <x:v>1</x:v>
      </x:c>
      <x:c r="H36" s="13" t="n">
        <x:v>1</x:v>
      </x:c>
      <x:c r="I36" s="14" t="n">
        <x:f>ROUND((45+E36*8)*H36,0)</x:f>
        <x:v>125</x:v>
      </x:c>
      <x:c r="J36" s="13" t="n">
        <x:v>44.2</x:v>
      </x:c>
    </x:row>
    <x:row r="37">
      <x:c r="B37" s="11" t="n">
        <x:v>33</x:v>
      </x:c>
      <x:c r="C37" s="11" t="n">
        <x:v>5</x:v>
      </x:c>
      <x:c r="D37" s="11" t="n">
        <x:v>2</x:v>
      </x:c>
      <x:c r="E37" s="12" t="n">
        <x:f>C37*D37</x:f>
        <x:v>10</x:v>
      </x:c>
      <x:c r="F37" s="11" t="n">
        <x:v>90</x:v>
      </x:c>
      <x:c r="G37" s="11" t="n">
        <x:v>1</x:v>
      </x:c>
      <x:c r="H37" s="11" t="n">
        <x:v>1</x:v>
      </x:c>
      <x:c r="I37" s="12" t="n">
        <x:f>ROUND((45+E37*8)*H37,0)</x:f>
        <x:v>125</x:v>
      </x:c>
      <x:c r="J37" s="11" t="n">
        <x:v>44.2</x:v>
      </x:c>
    </x:row>
    <x:row r="38">
      <x:c r="B38" s="13" t="n">
        <x:v>34</x:v>
      </x:c>
      <x:c r="C38" s="13" t="n">
        <x:v>5</x:v>
      </x:c>
      <x:c r="D38" s="13" t="n">
        <x:v>2</x:v>
      </x:c>
      <x:c r="E38" s="14" t="n">
        <x:f>C38*D38</x:f>
        <x:v>10</x:v>
      </x:c>
      <x:c r="F38" s="13" t="n">
        <x:v>90</x:v>
      </x:c>
      <x:c r="G38" s="13" t="n">
        <x:v>1</x:v>
      </x:c>
      <x:c r="H38" s="13" t="n">
        <x:v>1</x:v>
      </x:c>
      <x:c r="I38" s="14" t="n">
        <x:f>ROUND((45+E38*8)*H38,0)</x:f>
        <x:v>125</x:v>
      </x:c>
      <x:c r="J38" s="13" t="n">
        <x:v>44.2</x:v>
      </x:c>
    </x:row>
    <x:row r="39">
      <x:c r="B39" s="16" t="n">
        <x:v>35</x:v>
      </x:c>
      <x:c r="C39" s="16" t="n">
        <x:v>5</x:v>
      </x:c>
      <x:c r="D39" s="16" t="n">
        <x:v>3</x:v>
      </x:c>
      <x:c r="E39" s="17" t="n">
        <x:f>C39*D39</x:f>
        <x:v>15</x:v>
      </x:c>
      <x:c r="F39" s="16" t="n">
        <x:v>100</x:v>
      </x:c>
      <x:c r="G39" s="16" t="n">
        <x:v>1</x:v>
      </x:c>
      <x:c r="H39" s="16" t="n">
        <x:v>1</x:v>
      </x:c>
      <x:c r="I39" s="17" t="n">
        <x:f>ROUND((45+E39*8)*H39,0)</x:f>
        <x:v>165</x:v>
      </x:c>
      <x:c r="J39" s="16" t="n">
        <x:v>67.40000000000001</x:v>
      </x:c>
    </x:row>
    <x:row r="40">
      <x:c r="B40" s="13" t="n">
        <x:v>36</x:v>
      </x:c>
      <x:c r="C40" s="13" t="n">
        <x:v>5</x:v>
      </x:c>
      <x:c r="D40" s="13" t="n">
        <x:v>2</x:v>
      </x:c>
      <x:c r="E40" s="14" t="n">
        <x:f>C40*D40</x:f>
        <x:v>10</x:v>
      </x:c>
      <x:c r="F40" s="13" t="n">
        <x:v>90</x:v>
      </x:c>
      <x:c r="G40" s="13" t="n">
        <x:v>1</x:v>
      </x:c>
      <x:c r="H40" s="13" t="n">
        <x:v>1</x:v>
      </x:c>
      <x:c r="I40" s="14" t="n">
        <x:f>ROUND((45+E40*8)*H40,0)</x:f>
        <x:v>125</x:v>
      </x:c>
      <x:c r="J40" s="13" t="n">
        <x:v>44.2</x:v>
      </x:c>
    </x:row>
    <x:row r="41">
      <x:c r="B41" s="11" t="n">
        <x:v>37</x:v>
      </x:c>
      <x:c r="C41" s="11" t="n">
        <x:v>5</x:v>
      </x:c>
      <x:c r="D41" s="11" t="n">
        <x:v>2</x:v>
      </x:c>
      <x:c r="E41" s="12" t="n">
        <x:f>C41*D41</x:f>
        <x:v>10</x:v>
      </x:c>
      <x:c r="F41" s="11" t="n">
        <x:v>90</x:v>
      </x:c>
      <x:c r="G41" s="11" t="n">
        <x:v>1</x:v>
      </x:c>
      <x:c r="H41" s="11" t="n">
        <x:v>1</x:v>
      </x:c>
      <x:c r="I41" s="12" t="n">
        <x:f>ROUND((45+E41*8)*H41,0)</x:f>
        <x:v>125</x:v>
      </x:c>
      <x:c r="J41" s="11" t="n">
        <x:v>44.2</x:v>
      </x:c>
    </x:row>
    <x:row r="42">
      <x:c r="B42" s="13" t="n">
        <x:v>38</x:v>
      </x:c>
      <x:c r="C42" s="13" t="n">
        <x:v>5</x:v>
      </x:c>
      <x:c r="D42" s="13" t="n">
        <x:v>2</x:v>
      </x:c>
      <x:c r="E42" s="14" t="n">
        <x:f>C42*D42</x:f>
        <x:v>10</x:v>
      </x:c>
      <x:c r="F42" s="13" t="n">
        <x:v>90</x:v>
      </x:c>
      <x:c r="G42" s="13" t="n">
        <x:v>1</x:v>
      </x:c>
      <x:c r="H42" s="13" t="n">
        <x:v>1</x:v>
      </x:c>
      <x:c r="I42" s="14" t="n">
        <x:f>ROUND((45+E42*8)*H42,0)</x:f>
        <x:v>125</x:v>
      </x:c>
      <x:c r="J42" s="13" t="n">
        <x:v>44.2</x:v>
      </x:c>
    </x:row>
    <x:row r="43">
      <x:c r="B43" s="11" t="n">
        <x:v>39</x:v>
      </x:c>
      <x:c r="C43" s="11" t="n">
        <x:v>5</x:v>
      </x:c>
      <x:c r="D43" s="11" t="n">
        <x:v>2</x:v>
      </x:c>
      <x:c r="E43" s="12" t="n">
        <x:f>C43*D43</x:f>
        <x:v>10</x:v>
      </x:c>
      <x:c r="F43" s="11" t="n">
        <x:v>90</x:v>
      </x:c>
      <x:c r="G43" s="11" t="n">
        <x:v>1</x:v>
      </x:c>
      <x:c r="H43" s="11" t="n">
        <x:v>1</x:v>
      </x:c>
      <x:c r="I43" s="12" t="n">
        <x:f>ROUND((45+E43*8)*H43,0)</x:f>
        <x:v>125</x:v>
      </x:c>
      <x:c r="J43" s="11" t="n">
        <x:v>44.2</x:v>
      </x:c>
    </x:row>
    <x:row r="44">
      <x:c r="B44" s="13" t="n">
        <x:v>40</x:v>
      </x:c>
      <x:c r="C44" s="13" t="n">
        <x:v>5</x:v>
      </x:c>
      <x:c r="D44" s="13" t="n">
        <x:v>2</x:v>
      </x:c>
      <x:c r="E44" s="14" t="n">
        <x:f>C44*D44</x:f>
        <x:v>10</x:v>
      </x:c>
      <x:c r="F44" s="13" t="n">
        <x:v>90</x:v>
      </x:c>
      <x:c r="G44" s="13" t="n">
        <x:v>1</x:v>
      </x:c>
      <x:c r="H44" s="13" t="n">
        <x:v>1</x:v>
      </x:c>
      <x:c r="I44" s="14" t="n">
        <x:f>ROUND((45+E44*8)*H44,0)</x:f>
        <x:v>125</x:v>
      </x:c>
      <x:c r="J44" s="13" t="n">
        <x:v>44.2</x:v>
      </x:c>
    </x:row>
  </x:sheetData>
  <x:mergeCells>
    <x:mergeCell ref="B3:J3"/>
    <x:mergeCell ref="B2:J2"/>
  </x:mergeCells>
  <x:pageMargins left="0.7" right="0.7" top="0.75" bottom="0.75" header="0.3" footer="0.3"/>
  <x:drawing xmlns:r="http://schemas.openxmlformats.org/officeDocument/2006/relationships" r:id="R033f899069c24395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2" max="2" width="10" customWidth="1"/>
    <x:col min="3" max="3" width="26" customWidth="1"/>
    <x:col min="4" max="4" width="16" customWidth="1"/>
    <x:col min="5" max="5" width="40" customWidth="1"/>
    <x:col min="6" max="6" width="11" customWidth="1"/>
    <x:col min="7" max="7" width="11" customWidth="1"/>
    <x:col min="8" max="8" width="11" customWidth="1"/>
    <x:col min="9" max="9" width="11" customWidth="1"/>
    <x:col min="10" max="10" width="9" customWidth="1"/>
    <x:col min="11" max="11" width="42" customWidth="1"/>
  </x:cols>
  <x:sheetData>
    <x:row r="2" ht="30" customHeight="1">
      <x:c r="B2" s="8" t="inlineStr">
        <x:is>
          <x:t xml:space="preserve">道具经济平衡表</x:t>
        </x:is>
      </x:c>
    </x:row>
    <x:row r="3">
      <x:c r="B3" s="9" t="str">
        <x:v>测算口径：无视频玩家中心 40 关/日；看视频玩家中心 65 关/日（模型 55~75，运营目标 60~75）。全部道具无尽禁用；视频规则见 D16/D23/D24</x:v>
      </x:c>
    </x:row>
    <x:row r="4">
      <x:c r="B4" s="10" t="inlineStr">
        <x:is>
          <x:t xml:space="preserve">道具</x:t>
        </x:is>
      </x:c>
      <x:c r="C4" s="10" t="inlineStr">
        <x:is>
          <x:t xml:space="preserve">效果</x:t>
        </x:is>
      </x:c>
      <x:c r="D4" s="10" t="inlineStr">
        <x:is>
          <x:t xml:space="preserve">每关上限</x:t>
        </x:is>
      </x:c>
      <x:c r="E4" s="10" t="inlineStr">
        <x:is>
          <x:t xml:space="preserve">获取途径</x:t>
        </x:is>
      </x:c>
      <x:c r="F4" s="10" t="inlineStr">
        <x:is>
          <x:t xml:space="preserve">日获取(无视频)</x:t>
        </x:is>
      </x:c>
      <x:c r="G4" s="10" t="inlineStr">
        <x:is>
          <x:t xml:space="preserve">日获取(看视频)</x:t>
        </x:is>
      </x:c>
      <x:c r="H4" s="10" t="inlineStr">
        <x:is>
          <x:t xml:space="preserve">日消耗(无视频)</x:t>
        </x:is>
      </x:c>
      <x:c r="I4" s="10" t="inlineStr">
        <x:is>
          <x:t xml:space="preserve">日消耗(看视频)</x:t>
        </x:is>
      </x:c>
      <x:c r="J4" s="10" t="inlineStr">
        <x:is>
          <x:t xml:space="preserve">存量上限</x:t>
        </x:is>
      </x:c>
      <x:c r="K4" s="10" t="inlineStr">
        <x:is>
          <x:t xml:space="preserve">反滥用规则</x:t>
        </x:is>
      </x:c>
    </x:row>
    <x:row r="5">
      <x:c r="B5" s="11" t="inlineStr">
        <x:is>
          <x:t xml:space="preserve">放大镜</x:t>
        </x:is>
      </x:c>
      <x:c r="C5" s="20" t="inlineStr">
        <x:is>
          <x:t xml:space="preserve">闪烁高亮一个未找到的目标并镜头自动移过去</x:t>
        </x:is>
      </x:c>
      <x:c r="D5" s="11" t="inlineStr">
        <x:is>
          <x:t xml:space="preserve">3次（含每局免费1次）</x:t>
        </x:is>
      </x:c>
      <x:c r="E5" s="20" t="str">
        <x:v>每局免费1次（不计存量）；小章通关奖励+3个（10小章共30个一次性）；卡关时看30s站内视频换+1（D16入口③）</x:v>
      </x:c>
      <x:c r="F5" s="11" t="n">
        <x:v>0.86</x:v>
      </x:c>
      <x:c r="G5" s="11" t="n">
        <x:v>1.5</x:v>
      </x:c>
      <x:c r="H5" s="11" t="n">
        <x:v>0.86</x:v>
      </x:c>
      <x:c r="I5" s="11" t="n">
        <x:v>1.4</x:v>
      </x:c>
      <x:c r="J5" s="11" t="n">
        <x:v>10</x:v>
      </x:c>
      <x:c r="K5" s="20" t="inlineStr">
        <x:is>
          <x:t xml:space="preserve">免费次数当局有效不结转下局；同一目标已被高亮后不重复消耗次数；无尽模式禁用（D6正式决议）</x:t>
        </x:is>
      </x:c>
    </x:row>
    <x:row r="6">
      <x:c r="B6" s="13" t="inlineStr">
        <x:is>
          <x:t xml:space="preserve">时光沙漏</x:t>
        </x:is>
      </x:c>
      <x:c r="C6" s="21" t="str">
        <x:v>免看视频立即加时：剩余时间固定+15秒（与视频加时同值，满格截断）</x:v>
      </x:c>
      <x:c r="D6" s="13" t="inlineStr">
        <x:is>
          <x:t xml:space="preserve">3次（与视频加时入口合计）</x:t>
        </x:is>
      </x:c>
      <x:c r="E6" s="21" t="inlineStr">
        <x:is>
          <x:t xml:space="preserve">每关首次三星+1（全周期共100个一次性）；Boss关首通必掉+1（共10个）；图鉴每集齐1主题+2（共12个）</x:t>
        </x:is>
      </x:c>
      <x:c r="F6" s="13" t="n">
        <x:v>2.63</x:v>
      </x:c>
      <x:c r="G6" s="13" t="n">
        <x:v>3.68</x:v>
      </x:c>
      <x:c r="H6" s="13" t="n">
        <x:v>3.68</x:v>
      </x:c>
      <x:c r="I6" s="13" t="n">
        <x:v>1.79</x:v>
      </x:c>
      <x:c r="J6" s="13" t="n">
        <x:v>10</x:v>
      </x:c>
      <x:c r="K6" s="21" t="str">
        <x:v>视频加时与沙漏合计每关≤3次；观看视频期间暂停计时与输入；加时超本关总时长时截断；每关首次三星奖励按关卡ID终身一次；无尽模式禁用（D6）</x:v>
      </x:c>
    </x:row>
    <x:row r="7">
      <x:c r="B7" s="11" t="inlineStr">
        <x:is>
          <x:t xml:space="preserve">冻结怀表</x:t>
        </x:is>
      </x:c>
      <x:c r="C7" s="20" t="inlineStr">
        <x:is>
          <x:t xml:space="preserve">计时冻结5秒（冻结期间点错仍扣3秒）</x:t>
        </x:is>
      </x:c>
      <x:c r="D7" s="11" t="inlineStr">
        <x:is>
          <x:t xml:space="preserve">1次</x:t>
        </x:is>
      </x:c>
      <x:c r="E7" s="20" t="inlineStr">
        <x:is>
          <x:t xml:space="preserve">无尽模式第5波与第10波各+1（每局上限2个 每日上限3个；通关第60关解锁无尽）</x:t>
        </x:is>
      </x:c>
      <x:c r="F7" s="11" t="n">
        <x:v>2.1</x:v>
      </x:c>
      <x:c r="G7" s="11" t="n">
        <x:v>2.8</x:v>
      </x:c>
      <x:c r="H7" s="11" t="n">
        <x:v>2.59</x:v>
      </x:c>
      <x:c r="I7" s="11" t="n">
        <x:v>4.21</x:v>
      </x:c>
      <x:c r="J7" s="11" t="n">
        <x:v>5</x:v>
      </x:c>
      <x:c r="K7" s="20" t="inlineStr">
        <x:is>
          <x:t xml:space="preserve">冻结只暂停自然计时不豁免点错惩罚；按波次里程碑结算 中途超时按已达波次发放；无尽模式内禁用（D6正式决议 获得渠道与使用场景分离）</x:t>
        </x:is>
      </x:c>
    </x:row>
    <x:row r="8">
      <x:c r="B8" s="13" t="inlineStr">
        <x:is>
          <x:t xml:space="preserve">鸟瞰眼镜</x:t>
        </x:is>
      </x:c>
      <x:c r="C8" s="21" t="inlineStr">
        <x:is>
          <x:t xml:space="preserve">镜头拉远展示全场景2秒（展示期间计时照常且点击锁定）</x:t>
        </x:is>
      </x:c>
      <x:c r="D8" s="13" t="inlineStr">
        <x:is>
          <x:t xml:space="preserve">1次</x:t>
        </x:is>
      </x:c>
      <x:c r="E8" s="21" t="inlineStr">
        <x:is>
          <x:t xml:space="preserve">图鉴集齐2主题后解锁资格；解锁后每日首次通关+1（日限1 D15对齐 通过=找齐全部目标）；图鉴每集齐1主题一次性+1（共6个）</x:t>
        </x:is>
      </x:c>
      <x:c r="F8" s="13" t="n">
        <x:v>1.12</x:v>
      </x:c>
      <x:c r="G8" s="13" t="n">
        <x:v>1.22</x:v>
      </x:c>
      <x:c r="H8" s="13" t="n">
        <x:v>0.92</x:v>
      </x:c>
      <x:c r="I8" s="13" t="n">
        <x:v>1.5</x:v>
      </x:c>
      <x:c r="J8" s="13" t="n">
        <x:v>5</x:v>
      </x:c>
      <x:c r="K8" s="21" t="inlineStr">
        <x:is>
          <x:t xml:space="preserve">展示期间点击锁定且计时不暂停（不构成免费暂停）；每日首通奖励日限1当日重置；主题集齐奖励一次性按主题ID记录；无尽模式禁用（D6正式决议）</x:t>
        </x:is>
      </x:c>
    </x:row>
  </x:sheetData>
  <x:mergeCells>
    <x:mergeCell ref="B3:K3"/>
    <x:mergeCell ref="B2:K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2" max="2" width="5" customWidth="1"/>
    <x:col min="3" max="3" width="15" customWidth="1"/>
    <x:col min="4" max="4" width="9" customWidth="1"/>
    <x:col min="5" max="5" width="10" customWidth="1"/>
    <x:col min="6" max="6" width="34" customWidth="1"/>
    <x:col min="7" max="7" width="26" customWidth="1"/>
    <x:col min="8" max="8" width="8" customWidth="1"/>
    <x:col min="9" max="9" width="18" customWidth="1"/>
  </x:cols>
  <x:sheetData>
    <x:row r="2" ht="30" customHeight="1">
      <x:c r="B2" s="8" t="inlineStr">
        <x:is>
          <x:t xml:space="preserve">伙伴招募条件速查（8 位 × 8 种方式）</x:t>
        </x:is>
      </x:c>
    </x:row>
    <x:row r="3">
      <x:c r="B3" s="9" t="str">
        <x:v>每位 +1.25%、满 8 人 +10%；仅终身榜/赛季榜/无尽榜生效，日榜不吃加成。完整规则见 partners_spec.md</x:v>
      </x:c>
    </x:row>
    <x:row r="4">
      <x:c r="B4" s="10" t="inlineStr">
        <x:is>
          <x:t xml:space="preserve">#</x:t>
        </x:is>
      </x:c>
      <x:c r="C4" s="10" t="inlineStr">
        <x:is>
          <x:t xml:space="preserve">伙伴</x:t>
        </x:is>
      </x:c>
      <x:c r="D4" s="10" t="inlineStr">
        <x:is>
          <x:t xml:space="preserve">主题</x:t>
        </x:is>
      </x:c>
      <x:c r="E4" s="10" t="inlineStr">
        <x:is>
          <x:t xml:space="preserve">招募方式</x:t>
        </x:is>
      </x:c>
      <x:c r="F4" s="10" t="inlineStr">
        <x:is>
          <x:t xml:space="preserve">条件（判定口径）</x:t>
        </x:is>
      </x:c>
      <x:c r="G4" s="10" t="inlineStr">
        <x:is>
          <x:t xml:space="preserve">指标 metricKey</x:t>
        </x:is>
      </x:c>
      <x:c r="H4" s="10" t="inlineStr">
        <x:is>
          <x:t xml:space="preserve">类型</x:t>
        </x:is>
      </x:c>
      <x:c r="I4" s="10" t="inlineStr">
        <x:is>
          <x:t xml:space="preserve">进度显示格式</x:t>
        </x:is>
      </x:c>
    </x:row>
    <x:row r="5">
      <x:c r="B5" s="11" t="n">
        <x:v>1</x:v>
      </x:c>
      <x:c r="C5" s="20" t="inlineStr">
        <x:is>
          <x:t xml:space="preserve">🍳 小厨神·阿福</x:t>
        </x:is>
      </x:c>
      <x:c r="D5" s="11" t="inlineStr">
        <x:is>
          <x:t xml:space="preserve">kitchen</x:t>
        </x:is>
      </x:c>
      <x:c r="E5" s="11" t="inlineStr">
        <x:is>
          <x:t xml:space="preserve">在线时长</x:t>
        </x:is>
      </x:c>
      <x:c r="F5" s="20" t="inlineStr">
        <x:is>
          <x:t xml:space="preserve">累计在线 ≥ 1800 秒（30 分钟）</x:t>
        </x:is>
      </x:c>
      <x:c r="G5" s="20" t="inlineStr">
        <x:is>
          <x:t xml:space="preserve">znm.prog.onlineSec</x:t>
        </x:is>
      </x:c>
      <x:c r="H5" s="11" t="inlineStr">
        <x:is>
          <x:t xml:space="preserve">累计</x:t>
        </x:is>
      </x:c>
      <x:c r="I5" s="20" t="inlineStr">
        <x:is>
          <x:t xml:space="preserve">在线 24/30 分钟</x:t>
        </x:is>
      </x:c>
    </x:row>
    <x:row r="6">
      <x:c r="B6" s="13" t="n">
        <x:v>2</x:v>
      </x:c>
      <x:c r="C6" s="21" t="inlineStr">
        <x:is>
          <x:t xml:space="preserve">🧸 玩具兵·锡锡</x:t>
        </x:is>
      </x:c>
      <x:c r="D6" s="13" t="inlineStr">
        <x:is>
          <x:t xml:space="preserve">toys</x:t>
        </x:is>
      </x:c>
      <x:c r="E6" s="13" t="inlineStr">
        <x:is>
          <x:t xml:space="preserve">活跃</x:t>
        </x:is>
      </x:c>
      <x:c r="F6" s="21" t="inlineStr">
        <x:is>
          <x:t xml:space="preserve">单日累计游玩 ≥ 1200 秒（20 分钟）任意一天（D15：不绑连续签到）</x:t>
        </x:is>
      </x:c>
      <x:c r="G6" s="21" t="inlineStr">
        <x:is>
          <x:t xml:space="preserve">znm.prog.dailyPlaySec</x:t>
        </x:is>
      </x:c>
      <x:c r="H6" s="13" t="inlineStr">
        <x:is>
          <x:t xml:space="preserve">单日</x:t>
        </x:is>
      </x:c>
      <x:c r="I6" s="21" t="inlineStr">
        <x:is>
          <x:t xml:space="preserve">单日游玩 14/20 分钟</x:t>
        </x:is>
      </x:c>
    </x:row>
    <x:row r="7">
      <x:c r="B7" s="11" t="n">
        <x:v>3</x:v>
      </x:c>
      <x:c r="C7" s="20" t="inlineStr">
        <x:is>
          <x:t xml:space="preserve">🦉 林间向导·咕咕</x:t>
        </x:is>
      </x:c>
      <x:c r="D7" s="11" t="inlineStr">
        <x:is>
          <x:t xml:space="preserve">nature</x:t>
        </x:is>
      </x:c>
      <x:c r="E7" s="11" t="inlineStr">
        <x:is>
          <x:t xml:space="preserve">寻物</x:t>
        </x:is>
      </x:c>
      <x:c r="F7" s="20" t="inlineStr">
        <x:is>
          <x:t xml:space="preserve">nature 主题图鉴点亮 ≥ 15 件</x:t>
        </x:is>
      </x:c>
      <x:c r="G7" s="20" t="inlineStr">
        <x:is>
          <x:t xml:space="preserve">znm.coll.theme.nature</x:t>
        </x:is>
      </x:c>
      <x:c r="H7" s="11" t="inlineStr">
        <x:is>
          <x:t xml:space="preserve">累计</x:t>
        </x:is>
      </x:c>
      <x:c r="I7" s="20" t="inlineStr">
        <x:is>
          <x:t xml:space="preserve">自然图鉴 11/15</x:t>
        </x:is>
      </x:c>
    </x:row>
    <x:row r="8">
      <x:c r="B8" s="13" t="n">
        <x:v>4</x:v>
      </x:c>
      <x:c r="C8" s="21" t="inlineStr">
        <x:is>
          <x:t xml:space="preserve">🧭 旅行家·远远</x:t>
        </x:is>
      </x:c>
      <x:c r="D8" s="13" t="inlineStr">
        <x:is>
          <x:t xml:space="preserve">travel</x:t>
        </x:is>
      </x:c>
      <x:c r="E8" s="13" t="inlineStr">
        <x:is>
          <x:t xml:space="preserve">任务</x:t>
        </x:is>
      </x:c>
      <x:c r="F8" s="21" t="inlineStr">
        <x:is>
          <x:t xml:space="preserve">历史最高星级为三星的关卡累计 ≥ 10 关（只增不减）</x:t>
        </x:is>
      </x:c>
      <x:c r="G8" s="21" t="inlineStr">
        <x:is>
          <x:t xml:space="preserve">znm.best.levelStars</x:t>
        </x:is>
      </x:c>
      <x:c r="H8" s="13" t="inlineStr">
        <x:is>
          <x:t xml:space="preserve">累计</x:t>
        </x:is>
      </x:c>
      <x:c r="I8" s="21" t="inlineStr">
        <x:is>
          <x:t xml:space="preserve">三星通关 7/10</x:t>
        </x:is>
      </x:c>
    </x:row>
    <x:row r="9">
      <x:c r="B9" s="11" t="n">
        <x:v>5</x:v>
      </x:c>
      <x:c r="C9" s="20" t="inlineStr">
        <x:is>
          <x:t xml:space="preserve">🐬 潜水员·泡泡</x:t>
        </x:is>
      </x:c>
      <x:c r="D9" s="11" t="inlineStr">
        <x:is>
          <x:t xml:space="preserve">ocean</x:t>
        </x:is>
      </x:c>
      <x:c r="E9" s="11" t="inlineStr">
        <x:is>
          <x:t xml:space="preserve">积累</x:t>
        </x:is>
      </x:c>
      <x:c r="F9" s="20" t="inlineStr">
        <x:is>
          <x:t xml:space="preserve">累计命中目标 ≥ 500 次（含重复物品）</x:t>
        </x:is>
      </x:c>
      <x:c r="G9" s="20" t="inlineStr">
        <x:is>
          <x:t xml:space="preserve">znm.prog.totalFinds</x:t>
        </x:is>
      </x:c>
      <x:c r="H9" s="11" t="inlineStr">
        <x:is>
          <x:t xml:space="preserve">累计</x:t>
        </x:is>
      </x:c>
      <x:c r="I9" s="20" t="inlineStr">
        <x:is>
          <x:t xml:space="preserve">累计找物 163/500</x:t>
        </x:is>
      </x:c>
    </x:row>
    <x:row r="10">
      <x:c r="B10" s="13" t="n">
        <x:v>6</x:v>
      </x:c>
      <x:c r="C10" s="21" t="inlineStr">
        <x:is>
          <x:t xml:space="preserve">🚀 宇航员·星星</x:t>
        </x:is>
      </x:c>
      <x:c r="D10" s="13" t="inlineStr">
        <x:is>
          <x:t xml:space="preserve">space</x:t>
        </x:is>
      </x:c>
      <x:c r="E10" s="13" t="inlineStr">
        <x:is>
          <x:t xml:space="preserve">分数</x:t>
        </x:is>
      </x:c>
      <x:c r="F10" s="21" t="inlineStr">
        <x:is>
          <x:t xml:space="preserve">单关基础分 ≥ 1500（不含图鉴/伙伴系数）</x:t>
        </x:is>
      </x:c>
      <x:c r="G10" s="21" t="inlineStr">
        <x:is>
          <x:t xml:space="preserve">znm.prog.bestBaseScore</x:t>
        </x:is>
      </x:c>
      <x:c r="H10" s="13" t="inlineStr">
        <x:is>
          <x:t xml:space="preserve">单次</x:t>
        </x:is>
      </x:c>
      <x:c r="I10" s="21" t="inlineStr">
        <x:is>
          <x:t xml:space="preserve">单关最高 1286/1500</x:t>
        </x:is>
      </x:c>
    </x:row>
    <x:row r="11">
      <x:c r="B11" s="11" t="n">
        <x:v>7</x:v>
      </x:c>
      <x:c r="C11" s="20" t="inlineStr">
        <x:is>
          <x:t xml:space="preserve">🔍 侦探·眯眯</x:t>
        </x:is>
      </x:c>
      <x:c r="D11" s="11" t="inlineStr">
        <x:is>
          <x:t xml:space="preserve">彩蛋</x:t>
        </x:is>
      </x:c>
      <x:c r="E11" s="11" t="inlineStr">
        <x:is>
          <x:t xml:space="preserve">技巧</x:t>
        </x:is>
      </x:c>
      <x:c r="F11" s="20" t="inlineStr">
        <x:is>
          <x:t xml:space="preserve">单局最大连击 ≥ 8（任意模式）</x:t>
        </x:is>
      </x:c>
      <x:c r="G11" s="20" t="inlineStr">
        <x:is>
          <x:t xml:space="preserve">znm.prog.maxCombo</x:t>
        </x:is>
      </x:c>
      <x:c r="H11" s="11" t="inlineStr">
        <x:is>
          <x:t xml:space="preserve">单次</x:t>
        </x:is>
      </x:c>
      <x:c r="I11" s="20" t="inlineStr">
        <x:is>
          <x:t xml:space="preserve">最大连击 6/8</x:t>
        </x:is>
      </x:c>
    </x:row>
    <x:row r="12">
      <x:c r="B12" s="13" t="n">
        <x:v>8</x:v>
      </x:c>
      <x:c r="C12" s="21" t="inlineStr">
        <x:is>
          <x:t xml:space="preserve">👧 妹妹本妹</x:t>
        </x:is>
      </x:c>
      <x:c r="D12" s="13" t="inlineStr">
        <x:is>
          <x:t xml:space="preserve">终极彩蛋</x:t>
        </x:is>
      </x:c>
      <x:c r="E12" s="13" t="inlineStr">
        <x:is>
          <x:t xml:space="preserve">羁绊</x:t>
        </x:is>
      </x:c>
      <x:c r="F12" s="21" t="inlineStr">
        <x:is>
          <x:t xml:space="preserve">其余 7 位全部招募后自动加入（不占常规判定）</x:t>
        </x:is>
      </x:c>
      <x:c r="G12" s="21" t="inlineStr">
        <x:is>
          <x:t xml:space="preserve">znm.partner.roster</x:t>
        </x:is>
      </x:c>
      <x:c r="H12" s="13" t="inlineStr">
        <x:is>
          <x:t xml:space="preserve">事件</x:t>
        </x:is>
      </x:c>
      <x:c r="I12" s="21" t="inlineStr">
        <x:is>
          <x:t xml:space="preserve">伙伴 5/7</x:t>
        </x:is>
      </x:c>
    </x:row>
  </x:sheetData>
  <x:mergeCells>
    <x:mergeCell ref="B3:I3"/>
    <x:mergeCell ref="B2:I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2" max="2" width="7" customWidth="1"/>
    <x:col min="3" max="3" width="52" customWidth="1"/>
    <x:col min="4" max="4" width="60" customWidth="1"/>
  </x:cols>
  <x:sheetData>
    <x:row r="2" ht="21.600000381469727" hidden="0" customHeight="1">
      <x:c r="B2" s="8" t="str">
        <x:v>数值口径决议 D1~D27（开发必读）</x:v>
      </x:c>
    </x:row>
    <x:row r="3" ht="15" hidden="0" customHeight="1">
      <x:c r="B3" s="9" t="str">
        <x:v>D1~D8 为基础口径；D9~D20 为 v2.4 修复；D21~D27 为 v2.5 开发级收口</x:v>
      </x:c>
    </x:row>
    <x:row r="4" ht="15" hidden="0" customHeight="1">
      <x:c r="B4" s="10" t="inlineStr">
        <x:is>
          <x:t xml:space="preserve">编号</x:t>
        </x:is>
      </x:c>
      <x:c r="C4" s="10" t="inlineStr">
        <x:is>
          <x:t xml:space="preserve">决议</x:t>
        </x:is>
      </x:c>
      <x:c r="D4" s="10" t="inlineStr">
        <x:is>
          <x:t xml:space="preserve">背景与影响</x:t>
        </x:is>
      </x:c>
    </x:row>
    <x:row r="5" ht="15" hidden="0" customHeight="1">
      <x:c r="B5" s="25" t="str">
        <x:v>D1</x:v>
      </x:c>
      <x:c r="C5" s="32" t="str">
        <x:v>连击倍率上限 = 1.9（10 连击封顶）</x:v>
      </x:c>
      <x:c r="D5" s="35" t="str">
        <x:v>第 10 击起不再增长</x:v>
      </x:c>
    </x:row>
    <x:row r="6" ht="15" hidden="0" customHeight="1">
      <x:c r="B6" s="26" t="str">
        <x:v>D2</x:v>
      </x:c>
      <x:c r="C6" s="33" t="str">
        <x:v>关卡类型占比 = 标准55 / 集簇10 / 迷踪10 / 夜航10 / 极速5 / Boss10</x:v>
      </x:c>
      <x:c r="D6" s="36" t="str">
        <x:v>100关比例固定</x:v>
      </x:c>
    </x:row>
    <x:row r="7" ht="15" hidden="0" customHeight="1">
      <x:c r="B7" s="25" t="str">
        <x:v>D3</x:v>
      </x:c>
      <x:c r="C7" s="32" t="str">
        <x:v>通用数值舍入使用 half-up</x:v>
      </x:c>
      <x:c r="D7" s="35" t="str">
        <x:v>禁止依赖语言默认银行家舍入</x:v>
      </x:c>
    </x:row>
    <x:row r="8" ht="15" hidden="0" customHeight="1">
      <x:c r="B8" s="26" t="str">
        <x:v>D4</x:v>
      </x:c>
      <x:c r="C8" s="33" t="str">
        <x:v>星级线 = floor(StarBase×55%/75%, 0.1)</x:v>
      </x:c>
      <x:c r="D8" s="36" t="str">
        <x:v>实现时 +1e-6 防浮点误差</x:v>
      </x:c>
    </x:row>
    <x:row r="9" ht="15" hidden="0" customHeight="1">
      <x:c r="B9" s="25" t="str">
        <x:v>D5</x:v>
      </x:c>
      <x:c r="C9" s="32" t="str">
        <x:v>终身榜/赛季榜存基础分，加成读取时实时重算</x:v>
      </x:c>
      <x:c r="D9" s="35" t="str">
        <x:v>历史成绩无需重玩即可吃当前系数</x:v>
      </x:c>
    </x:row>
    <x:row r="10" ht="15" hidden="0" customHeight="1">
      <x:c r="B10" s="26" t="str">
        <x:v>D6</x:v>
      </x:c>
      <x:c r="C10" s="33" t="str">
        <x:v>无尽模式禁用全部4种道具</x:v>
      </x:c>
      <x:c r="D10" s="36" t="str">
        <x:v>无尽榜差异来自操作与收集加成</x:v>
      </x:c>
    </x:row>
    <x:row r="11" ht="15" hidden="0" customHeight="1">
      <x:c r="B11" s="25" t="str">
        <x:v>D7</x:v>
      </x:c>
      <x:c r="C11" s="32" t="str">
        <x:v>Boss/高压波同屏物品最高约163件</x:v>
      </x:c>
      <x:c r="D11" s="35" t="str">
        <x:v>上线门槛要求压力场景平均≥50FPS</x:v>
      </x:c>
    </x:row>
    <x:row r="12" ht="15" hidden="0" customHeight="1">
      <x:c r="B12" s="26" t="str">
        <x:v>D8</x:v>
      </x:c>
      <x:c r="C12" s="33" t="str">
        <x:v>伙伴检查点 = settle/signin/collect/onlineTick/launch</x:v>
      </x:c>
      <x:c r="D12" s="36" t="str">
        <x:v>失败闯关和UGC不触发settle伙伴判定</x:v>
      </x:c>
    </x:row>
    <x:row r="13" ht="15" hidden="0" customHeight="1">
      <x:c r="B13" s="25" t="str">
        <x:v>D9</x:v>
      </x:c>
      <x:c r="C13" s="32" t="str">
        <x:v>连击无时间窗口，仅点错清零；无尽跨波保留</x:v>
      </x:c>
      <x:c r="D13" s="35" t="str">
        <x:v>记忆背板与快速连续命中是合法打法</x:v>
      </x:c>
    </x:row>
    <x:row r="14" ht="15" hidden="0" customHeight="1">
      <x:c r="B14" s="26" t="str">
        <x:v>D10</x:v>
      </x:c>
      <x:c r="C14" s="33" t="str">
        <x:v>星级锚 = T×M(n)−0.4×h(n)</x:v>
      </x:c>
      <x:c r="D14" s="36" t="str">
        <x:v>极限速点模型</x:v>
      </x:c>
    </x:row>
    <x:row r="15" ht="15" hidden="0" customHeight="1">
      <x:c r="B15" s="25" t="str">
        <x:v>D11</x:v>
      </x:c>
      <x:c r="C15" s="32" t="str">
        <x:v>体力在线每3分钟+1；体力视频单次+5</x:v>
      </x:c>
      <x:c r="D15" s="35" t="str">
        <x:v>完整约束见D24</x:v>
      </x:c>
    </x:row>
    <x:row r="16" ht="15" hidden="0" customHeight="1">
      <x:c r="B16" s="26" t="str">
        <x:v>D12</x:v>
      </x:c>
      <x:c r="C16" s="33" t="str">
        <x:v>每集齐1主题图鉴，全局加成+2%，满+12%</x:v>
      </x:c>
      <x:c r="D16" s="36" t="str">
        <x:v>仅终身榜/赛季榜/无尽榜生效</x:v>
      </x:c>
    </x:row>
    <x:row r="17" ht="15" hidden="0" customHeight="1">
      <x:c r="B17" s="25" t="str">
        <x:v>D13</x:v>
      </x:c>
      <x:c r="C17" s="32" t="str">
        <x:v>日榜=当日各关最高基础分之和</x:v>
      </x:c>
      <x:c r="D17" s="35" t="str">
        <x:v>每关每日仅取最好成绩，不吃任何加成</x:v>
      </x:c>
    </x:row>
    <x:row r="18" ht="15" hidden="0" customHeight="1">
      <x:c r="B18" s="26" t="str">
        <x:v>D14</x:v>
      </x:c>
      <x:c r="C18" s="33" t="str">
        <x:v>终身/赛季总榜同分按对应基础分达到时间</x:v>
      </x:c>
      <x:c r="D18" s="36" t="str">
        <x:v>系数变化不刷新时间戳</x:v>
      </x:c>
    </x:row>
    <x:row r="19" ht="15" hidden="0" customHeight="1">
      <x:c r="B19" s="25" t="str">
        <x:v>D15</x:v>
      </x:c>
      <x:c r="C19" s="32" t="str">
        <x:v>永久进度不绑定自然日累计</x:v>
      </x:c>
      <x:c r="D19" s="35" t="str">
        <x:v>每日上限只用于消耗品防刷</x:v>
      </x:c>
    </x:row>
    <x:row r="20" ht="15" hidden="0" customHeight="1">
      <x:c r="B20" s="26" t="str">
        <x:v>D16</x:v>
      </x:c>
      <x:c r="C20" s="33" t="str">
        <x:v>视频三入口：体力+5 / 加时固定+15s / 放大镜+1</x:v>
      </x:c>
      <x:c r="D20" s="36" t="str">
        <x:v>加时与沙漏共享每关≤3次</x:v>
      </x:c>
    </x:row>
    <x:row r="21" ht="15" hidden="0" customHeight="1">
      <x:c r="B21" s="25" t="str">
        <x:v>D17</x:v>
      </x:c>
      <x:c r="C21" s="32" t="str">
        <x:v>伙伴阈值沿用v2.4重标值</x:v>
      </x:c>
      <x:c r="D21" s="35" t="str">
        <x:v>预计天数是玩家画像，不是时间锁</x:v>
      </x:c>
    </x:row>
    <x:row r="22" ht="15" hidden="0" customHeight="1">
      <x:c r="B22" s="26" t="str">
        <x:v>D18</x:v>
      </x:c>
      <x:c r="C22" s="33" t="str">
        <x:v>Boss类型系数0.9：L10=213s，L20+=300s</x:v>
      </x:c>
      <x:c r="D22" s="36" t="str">
        <x:v>Boss长局控制在约5分钟</x:v>
      </x:c>
    </x:row>
    <x:row r="23" ht="15" hidden="0" customHeight="1">
      <x:c r="B23" s="25" t="str">
        <x:v>D19</x:v>
      </x:c>
      <x:c r="C23" s="32" t="str">
        <x:v>UGC隔离：1体力/次，不计榜单/伙伴/图鉴</x:v>
      </x:c>
      <x:c r="D23" s="35" t="str">
        <x:v>时长30~300s、物品≤130、目标≤已摆放实例</x:v>
      </x:c>
    </x:row>
    <x:row r="24" ht="15" hidden="0" customHeight="1">
      <x:c r="B24" s="26" t="str">
        <x:v>D20</x:v>
      </x:c>
      <x:c r="C24" s="33" t="str">
        <x:v>沙漏免视频固定+15s，与视频加时共享每关≤3次</x:v>
      </x:c>
      <x:c r="D24" s="36" t="str">
        <x:v>满格截断</x:v>
      </x:c>
    </x:row>
    <x:row r="25" ht="15" hidden="0" customHeight="1">
      <x:c r="B25" s="28" t="str">
        <x:v>D21</x:v>
      </x:c>
      <x:c r="C25" s="34" t="str">
        <x:v>层级=5篇章×20关 / 10小章×10关</x:v>
      </x:c>
      <x:c r="D25" s="37" t="str">
        <x:v>CSV chapter指小章；星门解锁篇章</x:v>
      </x:c>
    </x:row>
    <x:row r="26" ht="15" hidden="0" customHeight="1">
      <x:c r="B26" s="28" t="str">
        <x:v>D22</x:v>
      </x:c>
      <x:c r="C26" s="34" t="str">
        <x:v>剩余时间下截0.1s→单物品得分half-up 0.1→逐项求和</x:v>
      </x:c>
      <x:c r="D26" s="37" t="str">
        <x:v>压线事件按服务端时间排序</x:v>
      </x:c>
    </x:row>
    <x:row r="27" ht="15" hidden="0" customHeight="1">
      <x:c r="B27" s="28" t="str">
        <x:v>D23</x:v>
      </x:c>
      <x:c r="C27" s="34" t="str">
        <x:v>视频期间暂停计时/输入，完播验签后幂等发奖</x:v>
      </x:c>
      <x:c r="D27" s="37" t="str">
        <x:v>加时固定+15s；rewardId防重复</x:v>
      </x:c>
    </x:row>
    <x:row r="28" ht="15" hidden="0" customHeight="1">
      <x:c r="B28" s="28" t="str">
        <x:v>D24</x:v>
      </x:c>
      <x:c r="C28" s="34" t="str">
        <x:v>体力上限/初始20；每日补到20；视频+5每日≤4次</x:v>
      </x:c>
      <x:c r="D28" s="37" t="str">
        <x:v>所有恢复不溢出</x:v>
      </x:c>
    </x:row>
    <x:row r="29" ht="15" hidden="0" customHeight="1">
      <x:c r="B29" s="28" t="str">
        <x:v>D25</x:v>
      </x:c>
      <x:c r="C29" s="34" t="str">
        <x:v>终身总榜不重置；赛季榜独立记录当季各关最好成绩</x:v>
      </x:c>
      <x:c r="D29" s="37" t="str">
        <x:v>赛季榜按赛季基础分达到时间破同分；奖励只绑定赛季榜</x:v>
      </x:c>
    </x:row>
    <x:row r="30" ht="15" hidden="0" customHeight="1">
      <x:c r="B30" s="28" t="str">
        <x:v>D26</x:v>
      </x:c>
      <x:c r="C30" s="34" t="str">
        <x:v>UGC奖励以另一有效账号首次完成作为条件</x:v>
      </x:c>
      <x:c r="D30" s="37" t="str">
        <x:v>作者/同设备/重复完成不计，日限3</x:v>
      </x:c>
    </x:row>
    <x:row r="31" ht="15" hidden="0" customHeight="1">
      <x:c r="B31" s="28" t="str">
        <x:v>D27</x:v>
      </x:c>
      <x:c r="C31" s="34" t="str">
        <x:v>每主题28普通/8稀有/4史诗；首槽优先未点亮</x:v>
      </x:c>
      <x:c r="D31" s="37" t="str">
        <x:v>其余槽按70%/25%/5%权重</x:v>
      </x:c>
    </x:row>
  </x:sheetData>
  <x:mergeCells>
    <x:mergeCell ref="B3:D3"/>
    <x:mergeCell ref="B2:D2"/>
  </x:mergeCells>
  <x:pageMargins left="0.7" right="0.7" top="0.75" bottom="0.75" header="0.3" footer="0.3"/>
  <x:tableParts count="1">
    <x:tablePart xmlns:r="http://schemas.openxmlformats.org/officeDocument/2006/relationships" r:id="R9b1791932fb748f3"/>
  </x:tableParts>
</x:worksheet>
</file>